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증권" sheetId="1" state="visible" r:id="rId1"/>
    <sheet name="NH투자증권" sheetId="2" state="visible" r:id="rId2"/>
    <sheet name="미래에셋증권" sheetId="3" state="visible" r:id="rId3"/>
    <sheet name="삼성증권" sheetId="4" state="visible" r:id="rId4"/>
    <sheet name="키움증권" sheetId="5" state="visible" r:id="rId5"/>
    <sheet name="한국투자증권" sheetId="6" state="visible" r:id="rId6"/>
    <sheet name="나무증권" sheetId="7" state="visible" r:id="rId7"/>
    <sheet name="전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9"/>
    </font>
    <font>
      <i val="1"/>
      <color rgb="000000ff"/>
      <sz val="9"/>
      <u val="singleAccounting"/>
    </font>
    <font>
      <b val="1"/>
      <sz val="10"/>
    </font>
    <font>
      <b val="1"/>
      <color rgb="00FF0000"/>
      <sz val="9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KB증권</t>
        </is>
      </c>
      <c r="B2" s="2" t="n">
        <v>1</v>
      </c>
      <c r="C2" s="2" t="inlineStr">
        <is>
          <t>연금/ISA</t>
        </is>
      </c>
      <c r="D2" s="3">
        <f>HYPERLINK("https://www.kbsec.com/go.able?linkcd=s060902030000&amp;seq=10009913&amp;idt=20260529&amp;clsfcd=4&amp;gubun=1", "링크")</f>
        <v/>
      </c>
      <c r="E2" s="4" t="inlineStr">
        <is>
          <t>중개형ISA 순입금(이전) 이벤트 시즌3</t>
        </is>
      </c>
      <c r="F2" s="4" t="inlineStr"/>
      <c r="G2" s="2" t="inlineStr">
        <is>
          <t>2026/06/01</t>
        </is>
      </c>
      <c r="H2" s="2" t="inlineStr">
        <is>
          <t>2026/08/31</t>
        </is>
      </c>
    </row>
    <row r="3">
      <c r="A3" s="2" t="inlineStr">
        <is>
          <t>KB증권</t>
        </is>
      </c>
      <c r="B3" s="2" t="n">
        <v>2</v>
      </c>
      <c r="C3" s="2" t="inlineStr">
        <is>
          <t>국내주식</t>
        </is>
      </c>
      <c r="D3" s="3">
        <f>HYPERLINK("https://www.kbsec.com/go.able?linkcd=s060902030000&amp;seq=10009884&amp;idt=20260522&amp;clsfcd=1&amp;gubun=1", "링크")</f>
        <v/>
      </c>
      <c r="E3" s="4" t="inlineStr">
        <is>
          <t>KB와 시작하면 쏟아지는 혜택</t>
        </is>
      </c>
      <c r="F3" s="4" t="inlineStr"/>
      <c r="G3" s="2" t="inlineStr">
        <is>
          <t>2026/06/01</t>
        </is>
      </c>
      <c r="H3" s="2" t="inlineStr">
        <is>
          <t>2026/09/30</t>
        </is>
      </c>
    </row>
    <row r="4">
      <c r="A4" s="2" t="inlineStr">
        <is>
          <t>KB증권</t>
        </is>
      </c>
      <c r="B4" s="2" t="n">
        <v>3</v>
      </c>
      <c r="C4" s="2" t="inlineStr">
        <is>
          <t>국내주식</t>
        </is>
      </c>
      <c r="D4" s="3">
        <f>HYPERLINK("https://www.kbsec.com/go.able?linkcd=s060902030000&amp;seq=10009846&amp;idt=20260514&amp;clsfcd=1&amp;gubun=1", "링크")</f>
        <v/>
      </c>
      <c r="E4" s="4" t="inlineStr">
        <is>
          <t>AI투자 자율주행 RACE!</t>
        </is>
      </c>
      <c r="F4" s="4" t="inlineStr"/>
      <c r="G4" s="2" t="inlineStr">
        <is>
          <t>2026/05/15</t>
        </is>
      </c>
      <c r="H4" s="2" t="inlineStr">
        <is>
          <t>2026/06/30</t>
        </is>
      </c>
    </row>
    <row r="5">
      <c r="A5" s="2" t="inlineStr">
        <is>
          <t>KB증권</t>
        </is>
      </c>
      <c r="B5" s="2" t="n">
        <v>4</v>
      </c>
      <c r="C5" s="2" t="inlineStr">
        <is>
          <t>국내주식</t>
        </is>
      </c>
      <c r="D5" s="3">
        <f>HYPERLINK("https://www.kbsec.com/go.able?linkcd=s060902030000&amp;seq=10009816&amp;idt=20260507&amp;clsfcd=1&amp;gubun=1", "링크")</f>
        <v/>
      </c>
      <c r="E5" s="4" t="inlineStr">
        <is>
          <t>영유스 전용클럽 영앤제로 매일, 대장주 0원에 득템 기회!</t>
        </is>
      </c>
      <c r="F5" s="4" t="inlineStr"/>
      <c r="G5" s="2" t="inlineStr">
        <is>
          <t>2026/05/11</t>
        </is>
      </c>
      <c r="H5" s="2" t="inlineStr">
        <is>
          <t>2026/12/31</t>
        </is>
      </c>
    </row>
    <row r="6">
      <c r="A6" s="2" t="inlineStr">
        <is>
          <t>KB증권</t>
        </is>
      </c>
      <c r="B6" s="2" t="n">
        <v>5</v>
      </c>
      <c r="C6" s="2" t="inlineStr">
        <is>
          <t>국내주식</t>
        </is>
      </c>
      <c r="D6" s="3">
        <f>HYPERLINK("https://www.kbsec.com/go.able?linkcd=s060902030000&amp;seq=10009807&amp;idt=20260506&amp;clsfcd=1&amp;gubun=1", "링크")</f>
        <v/>
      </c>
      <c r="E6" s="4" t="inlineStr">
        <is>
          <t>영(Young)하니까 수수료는 0원!</t>
        </is>
      </c>
      <c r="F6" s="4" t="inlineStr"/>
      <c r="G6" s="2" t="inlineStr">
        <is>
          <t>2026/05/11</t>
        </is>
      </c>
      <c r="H6" s="2" t="inlineStr">
        <is>
          <t>2026/12/30</t>
        </is>
      </c>
    </row>
    <row r="7">
      <c r="A7" s="2" t="inlineStr">
        <is>
          <t>KB증권</t>
        </is>
      </c>
      <c r="B7" s="2" t="n">
        <v>6</v>
      </c>
      <c r="C7" s="2" t="inlineStr">
        <is>
          <t>국내주식</t>
        </is>
      </c>
      <c r="D7" s="3">
        <f>HYPERLINK("https://www.kbsec.com/go.able?linkcd=s060902030000&amp;seq=10009770&amp;idt=20260424&amp;clsfcd=1&amp;gubun=1", "링크")</f>
        <v/>
      </c>
      <c r="E7" s="4" t="inlineStr">
        <is>
          <t>KB증권 실전투자대회 투자마스터즈 2026</t>
        </is>
      </c>
      <c r="F7" s="4" t="inlineStr"/>
      <c r="G7" s="2" t="inlineStr">
        <is>
          <t>2026/04/24</t>
        </is>
      </c>
      <c r="H7" s="2" t="inlineStr">
        <is>
          <t>2026/06/19</t>
        </is>
      </c>
    </row>
    <row r="8">
      <c r="A8" s="2" t="inlineStr">
        <is>
          <t>KB증권</t>
        </is>
      </c>
      <c r="B8" s="2" t="n">
        <v>7</v>
      </c>
      <c r="C8" s="2" t="inlineStr">
        <is>
          <t>국내주식</t>
        </is>
      </c>
      <c r="D8" s="3">
        <f>HYPERLINK("https://www.kbsec.com/go.able?linkcd=s060902030000&amp;seq=10009737&amp;idt=20260416&amp;clsfcd=1&amp;gubun=1", "링크")</f>
        <v/>
      </c>
      <c r="E8" s="4" t="inlineStr">
        <is>
          <t>국내주식 옮기면 쿠폰이 와르르 시즌2</t>
        </is>
      </c>
      <c r="F8" s="4" t="inlineStr"/>
      <c r="G8" s="2" t="inlineStr">
        <is>
          <t>2026/04/20</t>
        </is>
      </c>
      <c r="H8" s="2" t="inlineStr">
        <is>
          <t>2026/06/30</t>
        </is>
      </c>
    </row>
    <row r="9">
      <c r="A9" s="2" t="inlineStr">
        <is>
          <t>KB증권</t>
        </is>
      </c>
      <c r="B9" s="2" t="n">
        <v>8</v>
      </c>
      <c r="C9" s="2" t="inlineStr">
        <is>
          <t>연금/ISA</t>
        </is>
      </c>
      <c r="D9" s="3">
        <f>HYPERLINK("https://www.kbsec.com/go.able?linkcd=s060902030000&amp;seq=10009679&amp;idt=20260331&amp;clsfcd=4&amp;gubun=1", "링크")</f>
        <v/>
      </c>
      <c r="E9" s="4" t="inlineStr">
        <is>
          <t>연금, TDF &amp; ETF 굴려볼까? 시즌 2</t>
        </is>
      </c>
      <c r="F9" s="4" t="inlineStr"/>
      <c r="G9" s="2" t="inlineStr">
        <is>
          <t>2026/04/01</t>
        </is>
      </c>
      <c r="H9" s="2" t="inlineStr">
        <is>
          <t>2026/06/30</t>
        </is>
      </c>
    </row>
    <row r="10">
      <c r="A10" s="2" t="inlineStr">
        <is>
          <t>KB증권</t>
        </is>
      </c>
      <c r="B10" s="2" t="n">
        <v>9</v>
      </c>
      <c r="C10" s="2" t="inlineStr">
        <is>
          <t>연금/ISA</t>
        </is>
      </c>
      <c r="D10" s="3">
        <f>HYPERLINK("https://www.kbsec.com/go.able?linkcd=s060902030000&amp;seq=10009676&amp;idt=20260331&amp;clsfcd=4&amp;gubun=1", "링크")</f>
        <v/>
      </c>
      <c r="E10" s="4" t="inlineStr">
        <is>
          <t>퇴직연금 DC, 첫 만남 이벤트</t>
        </is>
      </c>
      <c r="F10" s="4" t="inlineStr"/>
      <c r="G10" s="2" t="inlineStr">
        <is>
          <t>2026/04/01</t>
        </is>
      </c>
      <c r="H10" s="2" t="inlineStr">
        <is>
          <t>2026/12/31</t>
        </is>
      </c>
    </row>
    <row r="11">
      <c r="A11" s="2" t="inlineStr">
        <is>
          <t>KB증권</t>
        </is>
      </c>
      <c r="B11" s="2" t="n">
        <v>10</v>
      </c>
      <c r="C11" s="2" t="inlineStr">
        <is>
          <t>연금/ISA</t>
        </is>
      </c>
      <c r="D11" s="3">
        <f>HYPERLINK("https://www.kbsec.com/go.able?linkcd=s060902030000&amp;seq=10009671&amp;idt=20260330&amp;clsfcd=4&amp;gubun=1", "링크")</f>
        <v/>
      </c>
      <c r="E11" s="4" t="inlineStr">
        <is>
          <t>2026 시즌2 연금저축 순입금(이전) 이벤트</t>
        </is>
      </c>
      <c r="F11" s="4" t="inlineStr"/>
      <c r="G11" s="2" t="inlineStr">
        <is>
          <t>2026/04/01</t>
        </is>
      </c>
      <c r="H11" s="2" t="inlineStr">
        <is>
          <t>2026/06/30</t>
        </is>
      </c>
    </row>
    <row r="12">
      <c r="A12" s="2" t="inlineStr">
        <is>
          <t>KB증권</t>
        </is>
      </c>
      <c r="B12" s="2" t="n">
        <v>11</v>
      </c>
      <c r="C12" s="2" t="inlineStr">
        <is>
          <t>연금/ISA</t>
        </is>
      </c>
      <c r="D12" s="3">
        <f>HYPERLINK("https://www.kbsec.com/go.able?linkcd=s060902030000&amp;seq=10009668&amp;idt=20260330&amp;clsfcd=4&amp;gubun=1", "링크")</f>
        <v/>
      </c>
      <c r="E12" s="4" t="inlineStr">
        <is>
          <t>2026 시즌2 IRP 순입금(이전) 이벤트</t>
        </is>
      </c>
      <c r="F12" s="4" t="inlineStr"/>
      <c r="G12" s="2" t="inlineStr">
        <is>
          <t>2026/04/01</t>
        </is>
      </c>
      <c r="H12" s="2" t="inlineStr">
        <is>
          <t>2026/06/30</t>
        </is>
      </c>
    </row>
    <row r="13">
      <c r="A13" s="2" t="inlineStr">
        <is>
          <t>KB증권</t>
        </is>
      </c>
      <c r="B13" s="2" t="n">
        <v>12</v>
      </c>
      <c r="C13" s="2" t="inlineStr">
        <is>
          <t>국내주식</t>
        </is>
      </c>
      <c r="D13" s="3">
        <f>HYPERLINK("https://www.kbsec.com/go.able?linkcd=s060902030000&amp;seq=10009450&amp;idt=20260130&amp;clsfcd=1&amp;gubun=1", "링크")</f>
        <v/>
      </c>
      <c r="E13" s="4" t="inlineStr">
        <is>
          <t>국내 주식선물, 1계약 부터 시작하세요</t>
        </is>
      </c>
      <c r="F13" s="4" t="inlineStr"/>
      <c r="G13" s="2" t="inlineStr">
        <is>
          <t>2026/02/02</t>
        </is>
      </c>
      <c r="H13" s="2" t="inlineStr">
        <is>
          <t>2026/06/26</t>
        </is>
      </c>
    </row>
    <row r="14">
      <c r="A14" s="2" t="inlineStr">
        <is>
          <t>KB증권</t>
        </is>
      </c>
      <c r="B14" s="2" t="n">
        <v>13</v>
      </c>
      <c r="C14" s="2" t="inlineStr">
        <is>
          <t>연금/ISA</t>
        </is>
      </c>
      <c r="D14" s="3">
        <f>HYPERLINK("https://www.kbsec.com/go.able?linkcd=s060902030000&amp;seq=10009423&amp;idt=20260121&amp;clsfcd=4&amp;gubun=1", "링크")</f>
        <v/>
      </c>
      <c r="E14" s="4" t="inlineStr">
        <is>
          <t>비대면 중개형ISA 수수료 이벤트</t>
        </is>
      </c>
      <c r="F14" s="4" t="inlineStr"/>
      <c r="G14" s="2" t="inlineStr">
        <is>
          <t>2026/01/01</t>
        </is>
      </c>
      <c r="H14" s="2" t="inlineStr">
        <is>
          <t>2026/12/31</t>
        </is>
      </c>
    </row>
    <row r="15">
      <c r="A15" s="2" t="inlineStr">
        <is>
          <t>KB증권</t>
        </is>
      </c>
      <c r="B15" s="2" t="n">
        <v>14</v>
      </c>
      <c r="C15" s="2" t="inlineStr">
        <is>
          <t>연금/ISA</t>
        </is>
      </c>
      <c r="D15" s="3">
        <f>HYPERLINK("https://www.kbsec.com/go.able?linkcd=s060902030000&amp;seq=10009370&amp;idt=20251231&amp;clsfcd=4&amp;gubun=1", "링크")</f>
        <v/>
      </c>
      <c r="E15" s="4" t="inlineStr">
        <is>
          <t>2026년 연금저축 온라인 ETF 매매수수료 혜택 이벤트</t>
        </is>
      </c>
      <c r="F15" s="4" t="inlineStr"/>
      <c r="G15" s="2" t="inlineStr">
        <is>
          <t>2026/01/01</t>
        </is>
      </c>
      <c r="H15" s="2" t="inlineStr">
        <is>
          <t>2026/12/31</t>
        </is>
      </c>
    </row>
    <row r="16">
      <c r="A16" s="2" t="inlineStr">
        <is>
          <t>KB증권</t>
        </is>
      </c>
      <c r="B16" s="2" t="n">
        <v>15</v>
      </c>
      <c r="C16" s="2" t="inlineStr">
        <is>
          <t>연금/ISA</t>
        </is>
      </c>
      <c r="D16" s="3">
        <f>HYPERLINK("https://www.kbsec.com/go.able?linkcd=s060902030000&amp;seq=10007688&amp;idt=20241025&amp;clsfcd=4&amp;gubun=1", "링크")</f>
        <v/>
      </c>
      <c r="E16" s="4" t="inlineStr">
        <is>
          <t>IRP 무료 수수료 혜택 이벤트</t>
        </is>
      </c>
      <c r="F16" s="4" t="inlineStr"/>
      <c r="G16" s="2" t="inlineStr">
        <is>
          <t>2024/10/28</t>
        </is>
      </c>
      <c r="H16" s="2" t="inlineStr">
        <is>
          <t>2026/08/20</t>
        </is>
      </c>
    </row>
    <row r="17">
      <c r="A17" s="2" t="inlineStr">
        <is>
          <t>KB증권</t>
        </is>
      </c>
      <c r="B17" s="2" t="n">
        <v>16</v>
      </c>
      <c r="C17" s="2" t="inlineStr">
        <is>
          <t>국내주식</t>
        </is>
      </c>
      <c r="D17" s="3">
        <f>HYPERLINK("https://www.kbsec.com/go.able?linkcd=s060902030000&amp;seq=10006781&amp;idt=20240405&amp;clsfcd=1&amp;gubun=1", "링크")</f>
        <v/>
      </c>
      <c r="E17" s="4" t="inlineStr">
        <is>
          <t>럭키박스 이벤트 시즌2</t>
        </is>
      </c>
      <c r="F17" s="4" t="inlineStr"/>
      <c r="G17" s="2" t="inlineStr">
        <is>
          <t>2025/01/01</t>
        </is>
      </c>
      <c r="H17" s="2" t="inlineStr">
        <is>
          <t>2026/10/22</t>
        </is>
      </c>
    </row>
    <row r="18">
      <c r="A18" s="2" t="inlineStr">
        <is>
          <t>KB증권</t>
        </is>
      </c>
      <c r="B18" s="2" t="n">
        <v>17</v>
      </c>
      <c r="C18" s="2" t="inlineStr">
        <is>
          <t>은행연계/비대면</t>
        </is>
      </c>
      <c r="D18" s="3">
        <f>HYPERLINK("https://www.kbsec.com/go.able?linkcd=s060902030000&amp;seq=10003885&amp;idt=20220223&amp;clsfcd=6&amp;gubun=1", "링크")</f>
        <v/>
      </c>
      <c r="E18" s="4" t="inlineStr">
        <is>
          <t>온라인 국내주식위탁 수수료 5년 혜택</t>
        </is>
      </c>
      <c r="F18" s="4" t="inlineStr"/>
      <c r="G18" s="2" t="inlineStr">
        <is>
          <t>2026/06/01</t>
        </is>
      </c>
      <c r="H18" s="2" t="inlineStr">
        <is>
          <t>2027/05/31</t>
        </is>
      </c>
    </row>
    <row r="19">
      <c r="A19" s="2" t="inlineStr">
        <is>
          <t>KB증권</t>
        </is>
      </c>
      <c r="B19" s="2" t="n">
        <v>18</v>
      </c>
      <c r="C19" s="2" t="inlineStr">
        <is>
          <t>은행연계/비대면</t>
        </is>
      </c>
      <c r="D19" s="3">
        <f>HYPERLINK("https://www.kbsec.com/go.able?linkcd=s060902030000&amp;seq=10002893&amp;idt=20210527&amp;clsfcd=6&amp;gubun=1", "링크")</f>
        <v/>
      </c>
      <c r="E19" s="4" t="inlineStr">
        <is>
          <t>비대면 계좌 온라인 국내주식위탁 수수료 평생 혜택 이벤트</t>
        </is>
      </c>
      <c r="F19" s="4" t="inlineStr"/>
      <c r="G19" s="2" t="inlineStr">
        <is>
          <t>2026/06/01</t>
        </is>
      </c>
      <c r="H19" s="2" t="inlineStr">
        <is>
          <t>2027/05/31</t>
        </is>
      </c>
    </row>
    <row r="20">
      <c r="A20" s="2" t="inlineStr">
        <is>
          <t>KB증권</t>
        </is>
      </c>
      <c r="B20" s="2" t="n">
        <v>19</v>
      </c>
      <c r="C20" s="2" t="inlineStr">
        <is>
          <t xml:space="preserve">ETF </t>
        </is>
      </c>
      <c r="D20" s="3">
        <f>HYPERLINK("https://www.kbsec.com/go.able?linkcd=s060902030000&amp;seq=10009833&amp;idt=20260511&amp;clsfcd=7&amp;gubun=1", "링크")</f>
        <v/>
      </c>
      <c r="E20" s="4" t="inlineStr">
        <is>
          <t>RISE 현대차고정피지컬AI ETF 거래 이벤트</t>
        </is>
      </c>
      <c r="F20" s="4" t="inlineStr"/>
      <c r="G20" s="2" t="inlineStr">
        <is>
          <t>2026/05/11</t>
        </is>
      </c>
      <c r="H20" s="2" t="inlineStr">
        <is>
          <t>2026/06/12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NH투자증권</t>
        </is>
      </c>
      <c r="B2" s="2" t="n">
        <v>1</v>
      </c>
      <c r="C2" s="2" t="inlineStr"/>
      <c r="D2" s="3" t="inlineStr"/>
      <c r="E2" s="4" t="inlineStr">
        <is>
          <t>N2, 국내주식 리스타트(Restart) 이벤트</t>
        </is>
      </c>
      <c r="F2" s="4" t="inlineStr">
        <is>
          <t>N2로 국내주식 옮겨서 거래하고, 투자지원금 최대 110만원 혜택 받자</t>
        </is>
      </c>
      <c r="G2" s="2" t="inlineStr">
        <is>
          <t>2026/05/27</t>
        </is>
      </c>
      <c r="H2" s="2" t="inlineStr">
        <is>
          <t>2026/06/30</t>
        </is>
      </c>
    </row>
    <row r="3">
      <c r="A3" s="2" t="inlineStr">
        <is>
          <t>NH투자증권</t>
        </is>
      </c>
      <c r="B3" s="2" t="n">
        <v>2</v>
      </c>
      <c r="C3" s="2" t="inlineStr"/>
      <c r="D3" s="3" t="inlineStr"/>
      <c r="E3" s="4" t="inlineStr">
        <is>
          <t>26년 IRP 순입금/이전 2차 이벤트</t>
        </is>
      </c>
      <c r="F3" s="4" t="inlineStr">
        <is>
          <t>퇴직연금 IRP 고객 순입금/이전 고객 혜택</t>
        </is>
      </c>
      <c r="G3" s="2" t="inlineStr">
        <is>
          <t>2026/05/01</t>
        </is>
      </c>
      <c r="H3" s="2" t="inlineStr">
        <is>
          <t>2026/08/31</t>
        </is>
      </c>
    </row>
    <row r="4">
      <c r="A4" s="2" t="inlineStr">
        <is>
          <t>NH투자증권</t>
        </is>
      </c>
      <c r="B4" s="2" t="n">
        <v>3</v>
      </c>
      <c r="C4" s="2" t="inlineStr"/>
      <c r="D4" s="3" t="inlineStr"/>
      <c r="E4" s="4" t="inlineStr">
        <is>
          <t>퇴직연금 자동운용 포트폴리오로 쉽게 투자하자 이벤트</t>
        </is>
      </c>
      <c r="F4" s="4" t="inlineStr">
        <is>
          <t>퇴직연금 디폴트옵션 최초 지정 / 상품 매수 이벤트</t>
        </is>
      </c>
      <c r="G4" s="2" t="inlineStr">
        <is>
          <t>2026/05/01</t>
        </is>
      </c>
      <c r="H4" s="2" t="inlineStr">
        <is>
          <t>2026/08/31</t>
        </is>
      </c>
    </row>
    <row r="5">
      <c r="A5" s="2" t="inlineStr">
        <is>
          <t>NH투자증권</t>
        </is>
      </c>
      <c r="B5" s="2" t="n">
        <v>4</v>
      </c>
      <c r="C5" s="2" t="inlineStr"/>
      <c r="D5" s="3" t="inlineStr"/>
      <c r="E5" s="4" t="inlineStr">
        <is>
          <t>대여풀 등록하고 주식 이자 받자!</t>
        </is>
      </c>
      <c r="F5" s="4" t="inlineStr">
        <is>
          <t>대여풀 등록하고 주식 이자 받자! 이벤트 신청 시 최대 300만원 혜택</t>
        </is>
      </c>
      <c r="G5" s="2" t="inlineStr">
        <is>
          <t>2026/04/30</t>
        </is>
      </c>
      <c r="H5" s="2" t="inlineStr">
        <is>
          <t>2026/07/31</t>
        </is>
      </c>
    </row>
    <row r="6">
      <c r="A6" s="2" t="inlineStr">
        <is>
          <t>NH투자증권</t>
        </is>
      </c>
      <c r="B6" s="2" t="n">
        <v>5</v>
      </c>
      <c r="C6" s="2" t="inlineStr"/>
      <c r="D6" s="3" t="inlineStr"/>
      <c r="E6" s="4" t="inlineStr">
        <is>
          <t>DC신규가입이벤트 시즌2</t>
        </is>
      </c>
      <c r="F6" s="4" t="inlineStr">
        <is>
          <t>[이제 연금도 투자다] DC신규가입이벤트 시즌2</t>
        </is>
      </c>
      <c r="G6" s="2" t="inlineStr">
        <is>
          <t>2026/04/01</t>
        </is>
      </c>
      <c r="H6" s="2" t="inlineStr">
        <is>
          <t>2026/06/30</t>
        </is>
      </c>
    </row>
    <row r="7">
      <c r="A7" s="2" t="inlineStr">
        <is>
          <t>NH투자증권</t>
        </is>
      </c>
      <c r="B7" s="2" t="n">
        <v>6</v>
      </c>
      <c r="C7" s="2" t="inlineStr"/>
      <c r="D7" s="3" t="inlineStr"/>
      <c r="E7" s="4" t="inlineStr">
        <is>
          <t>연금저축 TDF 셋업 이벤트</t>
        </is>
      </c>
      <c r="F7" s="4" t="inlineStr">
        <is>
          <t>연금저축펀드 계좌로 TDF 펀드 가입시 혜택 제공(일부 운용사한)</t>
        </is>
      </c>
      <c r="G7" s="2" t="inlineStr">
        <is>
          <t>2026/03/16</t>
        </is>
      </c>
      <c r="H7" s="2" t="inlineStr">
        <is>
          <t>2026/07/31</t>
        </is>
      </c>
    </row>
    <row r="8">
      <c r="A8" s="2" t="inlineStr">
        <is>
          <t>NH투자증권</t>
        </is>
      </c>
      <c r="B8" s="2" t="n">
        <v>7</v>
      </c>
      <c r="C8" s="2" t="inlineStr"/>
      <c r="D8" s="3" t="inlineStr"/>
      <c r="E8" s="4" t="inlineStr">
        <is>
          <t>NH투자증권 연금계좌3종 개설하기</t>
        </is>
      </c>
      <c r="F8" s="4" t="inlineStr">
        <is>
          <t>NH투자증권 연금계좌 개설 및 장점 안내</t>
        </is>
      </c>
      <c r="G8" s="2" t="inlineStr">
        <is>
          <t>2026/03/12</t>
        </is>
      </c>
      <c r="H8" s="2" t="inlineStr">
        <is>
          <t>2027/02/19</t>
        </is>
      </c>
    </row>
    <row r="9">
      <c r="A9" s="2" t="inlineStr">
        <is>
          <t>NH투자증권</t>
        </is>
      </c>
      <c r="B9" s="2" t="n">
        <v>8</v>
      </c>
      <c r="C9" s="2" t="inlineStr"/>
      <c r="D9" s="3" t="inlineStr"/>
      <c r="E9" s="4" t="inlineStr">
        <is>
          <t>퇴직연금 ELS 가입 이벤트</t>
        </is>
      </c>
      <c r="F9" s="4" t="inlineStr">
        <is>
          <t>ELS 가입하고 이벤트 혜택 받아보세요</t>
        </is>
      </c>
      <c r="G9" s="2" t="inlineStr">
        <is>
          <t>2026/03/03</t>
        </is>
      </c>
      <c r="H9" s="2" t="inlineStr">
        <is>
          <t>2026/06/30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미래에셋증권</t>
        </is>
      </c>
      <c r="B2" s="2" t="n">
        <v>1</v>
      </c>
      <c r="C2" s="2" t="inlineStr"/>
      <c r="D2" s="3">
        <f>HYPERLINK("https://securities.miraeasset.com/hki/hki7000/v05.do?cs_ecis_id=202606004&amp;strEnd=S", "링크")</f>
        <v/>
      </c>
      <c r="E2" s="5" t="inlineStr">
        <is>
          <t>이자에 혜택을 더하다 이제는 채권으로 Check In!</t>
        </is>
      </c>
      <c r="F2" s="4" t="inlineStr"/>
      <c r="G2" s="2" t="inlineStr">
        <is>
          <t>2026/06/08</t>
        </is>
      </c>
      <c r="H2" s="2" t="inlineStr">
        <is>
          <t>2026/08/25</t>
        </is>
      </c>
    </row>
    <row r="3">
      <c r="A3" s="2" t="inlineStr">
        <is>
          <t>미래에셋증권</t>
        </is>
      </c>
      <c r="B3" s="2" t="n">
        <v>2</v>
      </c>
      <c r="C3" s="2" t="inlineStr"/>
      <c r="D3" s="3">
        <f>HYPERLINK("https://securities.miraeasset.com/hki/hki7000/v05.do?cs_ecis_id=202605014&amp;strEnd=S", "링크")</f>
        <v/>
      </c>
      <c r="E3" s="4" t="inlineStr">
        <is>
          <t>K-Wave, 국내주식형펀드로 넓어지는 투자 선택</t>
        </is>
      </c>
      <c r="F3" s="4" t="inlineStr"/>
      <c r="G3" s="2" t="inlineStr">
        <is>
          <t>2026/06/08</t>
        </is>
      </c>
      <c r="H3" s="2" t="inlineStr">
        <is>
          <t>2026/07/31</t>
        </is>
      </c>
    </row>
    <row r="4">
      <c r="A4" s="2" t="inlineStr">
        <is>
          <t>미래에셋증권</t>
        </is>
      </c>
      <c r="B4" s="2" t="n">
        <v>3</v>
      </c>
      <c r="C4" s="2" t="inlineStr"/>
      <c r="D4" s="3">
        <f>HYPERLINK("https://securities.miraeasset.com/hki/hki7000/v05.do?cs_ecis_id=202605012&amp;strEnd=S", "링크")</f>
        <v/>
      </c>
      <c r="E4" s="4" t="inlineStr">
        <is>
          <t>중개형 ISA에 ETF 담고 혜택도 담고!</t>
        </is>
      </c>
      <c r="F4" s="4" t="inlineStr"/>
      <c r="G4" s="2" t="inlineStr">
        <is>
          <t>2026/06/08</t>
        </is>
      </c>
      <c r="H4" s="2" t="inlineStr">
        <is>
          <t>2026/07/31</t>
        </is>
      </c>
    </row>
    <row r="5">
      <c r="A5" s="2" t="inlineStr">
        <is>
          <t>미래에셋증권</t>
        </is>
      </c>
      <c r="B5" s="2" t="n">
        <v>4</v>
      </c>
      <c r="C5" s="2" t="inlineStr"/>
      <c r="D5" s="3">
        <f>HYPERLINK("https://securities.miraeasset.com/hki/hki7000/v05.do?cs_ecis_id=202605011&amp;strEnd=S", "링크")</f>
        <v/>
      </c>
      <c r="E5" s="4" t="inlineStr">
        <is>
          <t>Shall We ISA? 미래에셋증권과 함께 하실래요?</t>
        </is>
      </c>
      <c r="F5" s="4" t="inlineStr"/>
      <c r="G5" s="2" t="inlineStr">
        <is>
          <t>2026/06/01</t>
        </is>
      </c>
      <c r="H5" s="2" t="inlineStr">
        <is>
          <t>2026/07/31</t>
        </is>
      </c>
    </row>
    <row r="6">
      <c r="A6" s="2" t="inlineStr">
        <is>
          <t>미래에셋증권</t>
        </is>
      </c>
      <c r="B6" s="2" t="n">
        <v>5</v>
      </c>
      <c r="C6" s="2" t="inlineStr"/>
      <c r="D6" s="3">
        <f>HYPERLINK("https://securities.miraeasset.com/hki/hki7000/v05.do?cs_ecis_id=202605006&amp;strEnd=S", "링크")</f>
        <v/>
      </c>
      <c r="E6" s="4" t="inlineStr">
        <is>
          <t>국민성장펀드 첫 걸음을 응원합니다</t>
        </is>
      </c>
      <c r="F6" s="4" t="inlineStr"/>
      <c r="G6" s="2" t="inlineStr">
        <is>
          <t>2026/05/22</t>
        </is>
      </c>
      <c r="H6" s="2" t="inlineStr">
        <is>
          <t>2026/06/12</t>
        </is>
      </c>
    </row>
    <row r="7">
      <c r="A7" s="2" t="inlineStr">
        <is>
          <t>미래에셋증권</t>
        </is>
      </c>
      <c r="B7" s="2" t="n">
        <v>6</v>
      </c>
      <c r="C7" s="2" t="inlineStr"/>
      <c r="D7" s="3">
        <f>HYPERLINK("https://securities.miraeasset.com/hki/hki7000/v05.do?cs_ecis_id=202603008&amp;strEnd=S", "링크")</f>
        <v/>
      </c>
      <c r="E7" s="4" t="inlineStr">
        <is>
          <t>「투자하는 연금」2026년 IRP 입금 이벤트</t>
        </is>
      </c>
      <c r="F7" s="4" t="inlineStr"/>
      <c r="G7" s="2" t="inlineStr">
        <is>
          <t>2026/04/01</t>
        </is>
      </c>
      <c r="H7" s="2" t="inlineStr">
        <is>
          <t>2026/06/30</t>
        </is>
      </c>
    </row>
    <row r="8">
      <c r="A8" s="2" t="inlineStr">
        <is>
          <t>미래에셋증권</t>
        </is>
      </c>
      <c r="B8" s="2" t="n">
        <v>7</v>
      </c>
      <c r="C8" s="2" t="inlineStr"/>
      <c r="D8" s="3">
        <f>HYPERLINK("https://securities.miraeasset.com/hki/hki7000/v05.do?cs_ecis_id=202603006&amp;strEnd=S", "링크")</f>
        <v/>
      </c>
      <c r="E8" s="4" t="inlineStr">
        <is>
          <t>「투자하는 연금」2026년 개인연금 입금 이벤트</t>
        </is>
      </c>
      <c r="F8" s="4" t="inlineStr"/>
      <c r="G8" s="2" t="inlineStr">
        <is>
          <t>2026/04/01</t>
        </is>
      </c>
      <c r="H8" s="2" t="inlineStr">
        <is>
          <t>2026/06/30</t>
        </is>
      </c>
    </row>
    <row r="9">
      <c r="A9" s="2" t="inlineStr">
        <is>
          <t>미래에셋증권</t>
        </is>
      </c>
      <c r="B9" s="2" t="n">
        <v>8</v>
      </c>
      <c r="C9" s="2" t="inlineStr"/>
      <c r="D9" s="3">
        <f>HYPERLINK("https://securities.miraeasset.com/hki/hki7000/v05.do?cs_ecis_id=202603007&amp;strEnd=S", "링크")</f>
        <v/>
      </c>
      <c r="E9" s="4" t="inlineStr">
        <is>
          <t>「투자하는 연금」2026년 퇴직연금 DC 이벤트</t>
        </is>
      </c>
      <c r="F9" s="4" t="inlineStr"/>
      <c r="G9" s="2" t="inlineStr">
        <is>
          <t>2026/04/01</t>
        </is>
      </c>
      <c r="H9" s="2" t="inlineStr">
        <is>
          <t>2026/06/30</t>
        </is>
      </c>
    </row>
    <row r="10">
      <c r="A10" s="2" t="inlineStr">
        <is>
          <t>미래에셋증권</t>
        </is>
      </c>
      <c r="B10" s="2" t="n">
        <v>9</v>
      </c>
      <c r="C10" s="2" t="inlineStr"/>
      <c r="D10" s="3">
        <f>HYPERLINK("https://securities.miraeasset.com/hki/hki7000/v05.do?cs_ecis_id=202603005&amp;strEnd=S", "링크")</f>
        <v/>
      </c>
      <c r="E10" s="4" t="inlineStr">
        <is>
          <t>우리 아이 부자 만들기, 미래로 떠나는 90일 투자 여행 이벤트</t>
        </is>
      </c>
      <c r="F10" s="4" t="inlineStr"/>
      <c r="G10" s="2" t="inlineStr">
        <is>
          <t>2026/03/30</t>
        </is>
      </c>
      <c r="H10" s="2" t="inlineStr">
        <is>
          <t>2026/07/31</t>
        </is>
      </c>
    </row>
    <row r="11">
      <c r="A11" s="2" t="inlineStr">
        <is>
          <t>미래에셋증권</t>
        </is>
      </c>
      <c r="B11" s="2" t="n">
        <v>10</v>
      </c>
      <c r="C11" s="2" t="inlineStr"/>
      <c r="D11" s="3">
        <f>HYPERLINK("https://securities.miraeasset.com/hki/hki7000/v05.do?cs_ecis_id=202512004&amp;strEnd=S", "링크")</f>
        <v/>
      </c>
      <c r="E11" s="4" t="inlineStr">
        <is>
          <t>다이렉트 신규 계좌개설 우대 수수료 이벤트(2월~6월)</t>
        </is>
      </c>
      <c r="F11" s="4" t="inlineStr"/>
      <c r="G11" s="2" t="inlineStr">
        <is>
          <t>2026/02/02</t>
        </is>
      </c>
      <c r="H11" s="2" t="inlineStr">
        <is>
          <t>2026/09/28</t>
        </is>
      </c>
    </row>
    <row r="12">
      <c r="A12" s="2" t="inlineStr">
        <is>
          <t>미래에셋증권</t>
        </is>
      </c>
      <c r="B12" s="2" t="n">
        <v>11</v>
      </c>
      <c r="C12" s="2" t="inlineStr"/>
      <c r="D12" s="3">
        <f>HYPERLINK("https://securities.miraeasset.com/hki/hki7000/v05.do?cs_ecis_id=202512005&amp;strEnd=S", "링크")</f>
        <v/>
      </c>
      <c r="E12" s="4" t="inlineStr">
        <is>
          <t>다이렉트 첫 고객 Welcome 이벤트</t>
        </is>
      </c>
      <c r="F12" s="4" t="inlineStr"/>
      <c r="G12" s="2" t="inlineStr">
        <is>
          <t>2026/02/02</t>
        </is>
      </c>
      <c r="H12" s="2" t="inlineStr">
        <is>
          <t>2026/06/30</t>
        </is>
      </c>
    </row>
    <row r="13">
      <c r="A13" s="2" t="inlineStr">
        <is>
          <t>미래에셋증권</t>
        </is>
      </c>
      <c r="B13" s="2" t="n">
        <v>12</v>
      </c>
      <c r="C13" s="2" t="inlineStr"/>
      <c r="D13" s="3">
        <f>HYPERLINK("https://securities.miraeasset.com/hki/hki7000/v05.do?cs_ecis_id=202512019&amp;strEnd=S", "링크")</f>
        <v/>
      </c>
      <c r="E13" s="4" t="inlineStr">
        <is>
          <t>「투자하는 연금」연말정산 준비 프로젝트</t>
        </is>
      </c>
      <c r="F13" s="4" t="inlineStr"/>
      <c r="G13" s="2" t="inlineStr">
        <is>
          <t>2026/01/01</t>
        </is>
      </c>
      <c r="H13" s="2" t="inlineStr">
        <is>
          <t>2026/06/30</t>
        </is>
      </c>
    </row>
    <row r="14">
      <c r="A14" s="2" t="inlineStr">
        <is>
          <t>미래에셋증권</t>
        </is>
      </c>
      <c r="B14" s="2" t="n">
        <v>13</v>
      </c>
      <c r="C14" s="2" t="inlineStr"/>
      <c r="D14" s="3">
        <f>HYPERLINK("https://securities.miraeasset.com/hki/hki7000/v05.do?cs_ecis_id=202601005&amp;strEnd=S", "링크")</f>
        <v/>
      </c>
      <c r="E14" s="4" t="inlineStr">
        <is>
          <t>다이렉트 중개형ISA 온라인 매매수수료 평생우대혜택 안내</t>
        </is>
      </c>
      <c r="F14" s="4" t="inlineStr"/>
      <c r="G14" s="2" t="inlineStr">
        <is>
          <t>2026/01/01</t>
        </is>
      </c>
      <c r="H14" s="2" t="inlineStr">
        <is>
          <t>2026/12/31</t>
        </is>
      </c>
    </row>
    <row r="15">
      <c r="A15" s="2" t="inlineStr">
        <is>
          <t>미래에셋증권</t>
        </is>
      </c>
      <c r="B15" s="2" t="n">
        <v>14</v>
      </c>
      <c r="C15" s="2" t="inlineStr"/>
      <c r="D15" s="3">
        <f>HYPERLINK("https://securities.miraeasset.com/hki/hki7000/v05.do?cs_ecis_id=202601004&amp;strEnd=S", "링크")</f>
        <v/>
      </c>
      <c r="E15" s="4" t="inlineStr">
        <is>
          <t>다이렉트 연금저축계좌 온라인 매매수수료 우대혜택 안내</t>
        </is>
      </c>
      <c r="F15" s="4" t="inlineStr"/>
      <c r="G15" s="2" t="inlineStr">
        <is>
          <t>2026/01/01</t>
        </is>
      </c>
      <c r="H15" s="2" t="inlineStr">
        <is>
          <t>2026/12/31</t>
        </is>
      </c>
    </row>
    <row r="16">
      <c r="A16" s="2" t="inlineStr">
        <is>
          <t>미래에셋증권</t>
        </is>
      </c>
      <c r="B16" s="2" t="n">
        <v>15</v>
      </c>
      <c r="C16" s="2" t="inlineStr"/>
      <c r="D16" s="3">
        <f>HYPERLINK("https://securities.miraeasset.com/hki/hki7000/v05.do?cs_ecis_id=202505016&amp;strEnd=S", "링크")</f>
        <v/>
      </c>
      <c r="E16" s="4" t="inlineStr">
        <is>
          <t>국내선물옵션 수수료할인특급 시즌2</t>
        </is>
      </c>
      <c r="F16" s="4" t="inlineStr"/>
      <c r="G16" s="2" t="inlineStr">
        <is>
          <t>2025/07/01</t>
        </is>
      </c>
      <c r="H16" s="2" t="inlineStr">
        <is>
          <t>2026/06/30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삼성증권</t>
        </is>
      </c>
      <c r="B2" s="2" t="n">
        <v>1</v>
      </c>
      <c r="C2" s="2" t="inlineStr"/>
      <c r="D2" s="3">
        <f>HYPERLINK("https://www.samsungpop.com/customer/guide.do?cmd=event_view&amp;menuNo=01010900&amp;MenuSeqNo=3830", "링크")</f>
        <v/>
      </c>
      <c r="E2" s="4" t="inlineStr">
        <is>
          <t>국내선물옵션 야夜심찬 KRX 야간거래 EVENT</t>
        </is>
      </c>
      <c r="F2" s="4" t="inlineStr">
        <is>
          <t>선물옵션 야간거래 하고 야심찬 리워드 받자!</t>
        </is>
      </c>
      <c r="G2" s="2" t="inlineStr">
        <is>
          <t>2026/06/01</t>
        </is>
      </c>
      <c r="H2" s="2" t="inlineStr">
        <is>
          <t>2026/07/31</t>
        </is>
      </c>
    </row>
    <row r="3">
      <c r="A3" s="2" t="inlineStr">
        <is>
          <t>삼성증권</t>
        </is>
      </c>
      <c r="B3" s="2" t="n">
        <v>2</v>
      </c>
      <c r="C3" s="2" t="inlineStr"/>
      <c r="D3" s="3">
        <f>HYPERLINK("https://www.samsungpop.com/customer/guide.do?cmd=event_view&amp;menuNo=01010900&amp;MenuSeqNo=3834", "링크")</f>
        <v/>
      </c>
      <c r="E3" s="4" t="inlineStr">
        <is>
          <t>모니모 앱 가입 이벤트</t>
        </is>
      </c>
      <c r="F3" s="4" t="inlineStr">
        <is>
          <t>모니모 가입하면 컴포즈커피 4잔+모니머니 1만원 100%증정</t>
        </is>
      </c>
      <c r="G3" s="2" t="inlineStr">
        <is>
          <t>2026/06/02</t>
        </is>
      </c>
      <c r="H3" s="2" t="inlineStr">
        <is>
          <t>2026/06/30</t>
        </is>
      </c>
    </row>
    <row r="4">
      <c r="A4" s="2" t="inlineStr">
        <is>
          <t>삼성증권</t>
        </is>
      </c>
      <c r="B4" s="2" t="n">
        <v>3</v>
      </c>
      <c r="C4" s="2" t="inlineStr"/>
      <c r="D4" s="3">
        <f>HYPERLINK("https://www.samsungpop.com/customer/guide.do?cmd=event_view&amp;menuNo=01010900&amp;MenuSeqNo=3817", "링크")</f>
        <v/>
      </c>
      <c r="E4" s="4" t="inlineStr">
        <is>
          <t>내일의 나를 위한 건강X절세 종합검진 이벤트(26.5~7월)</t>
        </is>
      </c>
      <c r="F4" s="4" t="inlineStr">
        <is>
          <t>건강X절세 종합검진 이벤트</t>
        </is>
      </c>
      <c r="G4" s="2" t="inlineStr">
        <is>
          <t>2026/05/01</t>
        </is>
      </c>
      <c r="H4" s="2" t="inlineStr">
        <is>
          <t>2026/07/31</t>
        </is>
      </c>
    </row>
    <row r="5">
      <c r="A5" s="2" t="inlineStr">
        <is>
          <t>삼성증권</t>
        </is>
      </c>
      <c r="B5" s="2" t="n">
        <v>4</v>
      </c>
      <c r="C5" s="2" t="inlineStr"/>
      <c r="D5" s="3">
        <f>HYPERLINK("https://www.samsungpop.com/customer/guide.do?cmd=event_view&amp;menuNo=01010900&amp;MenuSeqNo=3809", "링크")</f>
        <v/>
      </c>
      <c r="E5" s="4" t="inlineStr">
        <is>
          <t>중개형 ISA 파워-업! 이벤트(26.5~7월)</t>
        </is>
      </c>
      <c r="F5" s="4" t="inlineStr">
        <is>
          <t>2026년 5~7월 중개형ISA 이벤트 지금 확인하세요~!</t>
        </is>
      </c>
      <c r="G5" s="2" t="inlineStr">
        <is>
          <t>2026/05/01</t>
        </is>
      </c>
      <c r="H5" s="2" t="inlineStr">
        <is>
          <t>2026/07/31</t>
        </is>
      </c>
    </row>
    <row r="6">
      <c r="A6" s="2" t="inlineStr">
        <is>
          <t>삼성증권</t>
        </is>
      </c>
      <c r="B6" s="2" t="n">
        <v>5</v>
      </c>
      <c r="C6" s="2" t="inlineStr"/>
      <c r="D6" s="3">
        <f>HYPERLINK("https://www.samsungpop.com/customer/guide.do?cmd=event_view&amp;menuNo=01010900&amp;MenuSeqNo=3807", "링크")</f>
        <v/>
      </c>
      <c r="E6" s="4" t="inlineStr">
        <is>
          <t>[연금] 퇴직연금(IRP/DC) 파워-업! 이벤트(26.5~7월)</t>
        </is>
      </c>
      <c r="F6" s="4" t="inlineStr">
        <is>
          <t>2026년 5~7월 퇴직연금 이벤트 지금 확인하세요~!</t>
        </is>
      </c>
      <c r="G6" s="2" t="inlineStr">
        <is>
          <t>2026/05/01</t>
        </is>
      </c>
      <c r="H6" s="2" t="inlineStr">
        <is>
          <t>2026/07/31</t>
        </is>
      </c>
    </row>
    <row r="7">
      <c r="A7" s="2" t="inlineStr">
        <is>
          <t>삼성증권</t>
        </is>
      </c>
      <c r="B7" s="2" t="n">
        <v>6</v>
      </c>
      <c r="C7" s="2" t="inlineStr"/>
      <c r="D7" s="3">
        <f>HYPERLINK("https://www.samsungpop.com/customer/guide.do?cmd=event_view&amp;menuNo=01010900&amp;MenuSeqNo=3805", "링크")</f>
        <v/>
      </c>
      <c r="E7" s="4" t="inlineStr">
        <is>
          <t>[연금] 연금저축 파워-업! 이벤트(26.5~7월)</t>
        </is>
      </c>
      <c r="F7" s="4" t="inlineStr">
        <is>
          <t>연금저축이 삼성증권을 만나 파워-업! 최대 100만원 헤택까지 받으세요~!</t>
        </is>
      </c>
      <c r="G7" s="2" t="inlineStr">
        <is>
          <t>2026/05/01</t>
        </is>
      </c>
      <c r="H7" s="2" t="inlineStr">
        <is>
          <t>2026/07/31</t>
        </is>
      </c>
    </row>
    <row r="8">
      <c r="A8" s="2" t="inlineStr">
        <is>
          <t>삼성증권</t>
        </is>
      </c>
      <c r="B8" s="2" t="n">
        <v>7</v>
      </c>
      <c r="C8" s="2" t="inlineStr"/>
      <c r="D8" s="3">
        <f>HYPERLINK("https://www.samsungpop.com/customer/guide.do?cmd=event_view&amp;menuNo=01010900&amp;MenuSeqNo=3811", "링크")</f>
        <v/>
      </c>
      <c r="E8" s="4" t="inlineStr">
        <is>
          <t>중개형 ISA "연금전환" 이벤트 (26.5~7월)</t>
        </is>
      </c>
      <c r="F8" s="4" t="inlineStr">
        <is>
          <t>중개형ISA 그냥 두지 마세요~ '연금전환' 하고 최대 116만원 받으세요! (26.5.1~7.31)</t>
        </is>
      </c>
      <c r="G8" s="2" t="inlineStr">
        <is>
          <t>2026/05/01</t>
        </is>
      </c>
      <c r="H8" s="2" t="inlineStr">
        <is>
          <t>2026/07/31</t>
        </is>
      </c>
    </row>
    <row r="9">
      <c r="A9" s="2" t="inlineStr">
        <is>
          <t>삼성증권</t>
        </is>
      </c>
      <c r="B9" s="2" t="n">
        <v>8</v>
      </c>
      <c r="C9" s="2" t="inlineStr"/>
      <c r="D9" s="3">
        <f>HYPERLINK("https://www.samsungpop.com/customer/guide.do?cmd=event_view&amp;menuNo=01010900&amp;MenuSeqNo=3803", "링크")</f>
        <v/>
      </c>
      <c r="E9" s="4" t="inlineStr">
        <is>
          <t>자녀자산관리 서비스 출시 이벤트</t>
        </is>
      </c>
      <c r="F9" s="4" t="inlineStr">
        <is>
          <t>자녀계좌 첫 개설시 최대 5만원과 조건충족시 KOSPI 주식 1주 추첨기회까지 드려요</t>
        </is>
      </c>
      <c r="G9" s="2" t="inlineStr">
        <is>
          <t>2026/05/04</t>
        </is>
      </c>
      <c r="H9" s="2" t="inlineStr">
        <is>
          <t>2026/10/30</t>
        </is>
      </c>
    </row>
    <row r="10">
      <c r="A10" s="2" t="inlineStr">
        <is>
          <t>삼성증권</t>
        </is>
      </c>
      <c r="B10" s="2" t="n">
        <v>9</v>
      </c>
      <c r="C10" s="2" t="inlineStr"/>
      <c r="D10" s="3">
        <f>HYPERLINK("https://www.samsungpop.com/customer/guide.do?cmd=event_view&amp;menuNo=01010900&amp;MenuSeqNo=3723", "링크")</f>
        <v/>
      </c>
      <c r="E10" s="4" t="inlineStr">
        <is>
          <t>국내주식 온라인 수수료 우대혜택 이벤트(신규/휴면)</t>
        </is>
      </c>
      <c r="F10" s="4" t="inlineStr">
        <is>
          <t>신규/휴면고객이라면 비대면 계좌개설시 온라인 국내주식 수수료 우대 혜택을 드려요!</t>
        </is>
      </c>
      <c r="G10" s="2" t="inlineStr">
        <is>
          <t>2026/04/01</t>
        </is>
      </c>
      <c r="H10" s="2" t="inlineStr">
        <is>
          <t>2026/06/30</t>
        </is>
      </c>
    </row>
    <row r="11">
      <c r="A11" s="2" t="inlineStr">
        <is>
          <t>삼성증권</t>
        </is>
      </c>
      <c r="B11" s="2" t="n">
        <v>10</v>
      </c>
      <c r="C11" s="2" t="inlineStr"/>
      <c r="D11" s="3">
        <f>HYPERLINK("https://www.samsungpop.com/customer/guide.do?cmd=event_view&amp;menuNo=01010900&amp;MenuSeqNo=3776", "링크")</f>
        <v/>
      </c>
      <c r="E11" s="4" t="inlineStr">
        <is>
          <t>2026년 2분기 국내선물옵션 수수료 이벤트</t>
        </is>
      </c>
      <c r="F11" s="4" t="inlineStr">
        <is>
          <t>2026년에도 삼성증권과 국내선물옵션 거래하세요~</t>
        </is>
      </c>
      <c r="G11" s="2" t="inlineStr">
        <is>
          <t>2026/04/01</t>
        </is>
      </c>
      <c r="H11" s="2" t="inlineStr">
        <is>
          <t>2026/06/30</t>
        </is>
      </c>
    </row>
    <row r="12">
      <c r="A12" s="2" t="inlineStr">
        <is>
          <t>삼성증권</t>
        </is>
      </c>
      <c r="B12" s="2" t="n">
        <v>11</v>
      </c>
      <c r="C12" s="2" t="inlineStr"/>
      <c r="D12" s="3">
        <f>HYPERLINK("https://www.samsungpop.com/customer/guide.do?cmd=event_view&amp;menuNo=01010900&amp;MenuSeqNo=3769", "링크")</f>
        <v/>
      </c>
      <c r="E12" s="4" t="inlineStr">
        <is>
          <t>RIA(국내시장 복귀계좌) 수수료 우대 이벤트</t>
        </is>
      </c>
      <c r="F12" s="4" t="inlineStr">
        <is>
          <t>RIA(국내시장 복귀계좌) 개설하고, 국내주식 매매수수료 우대와 원화로 환전100%우대까지 받아보세요~</t>
        </is>
      </c>
      <c r="G12" s="2" t="inlineStr">
        <is>
          <t>2026/03/23</t>
        </is>
      </c>
      <c r="H12" s="2" t="inlineStr">
        <is>
          <t>2026/12/31</t>
        </is>
      </c>
    </row>
    <row r="13">
      <c r="A13" s="2" t="inlineStr">
        <is>
          <t>삼성증권</t>
        </is>
      </c>
      <c r="B13" s="2" t="n">
        <v>12</v>
      </c>
      <c r="C13" s="2" t="inlineStr"/>
      <c r="D13" s="3">
        <f>HYPERLINK("https://www.samsungpop.com/customer/guide.do?cmd=event_view&amp;menuNo=01010900&amp;MenuSeqNo=3721", "링크")</f>
        <v/>
      </c>
      <c r="E13" s="4" t="inlineStr">
        <is>
          <t>'26년 연금저축계좌 ETF/리츠 온라인 거래수수료 혜택</t>
        </is>
      </c>
      <c r="F13" s="4" t="inlineStr">
        <is>
          <t>연금저축계좌에서 ETF, 리츠 온라인 거래하고 수수료 혜택 받자!</t>
        </is>
      </c>
      <c r="G13" s="2" t="inlineStr">
        <is>
          <t>2026/01/01</t>
        </is>
      </c>
      <c r="H13" s="2" t="inlineStr">
        <is>
          <t>2026/12/31</t>
        </is>
      </c>
    </row>
    <row r="14">
      <c r="A14" s="2" t="inlineStr">
        <is>
          <t>삼성증권</t>
        </is>
      </c>
      <c r="B14" s="2" t="n">
        <v>13</v>
      </c>
      <c r="C14" s="2" t="inlineStr"/>
      <c r="D14" s="3">
        <f>HYPERLINK("https://www.samsungpop.com/customer/guide.do?cmd=event_view&amp;menuNo=01010900&amp;MenuSeqNo=3719", "링크")</f>
        <v/>
      </c>
      <c r="E14" s="4" t="inlineStr">
        <is>
          <t>[신규] '26년 중개형 ISA 평생혜택계좌 수수료 혜택</t>
        </is>
      </c>
      <c r="F14" s="4" t="inlineStr">
        <is>
          <t>2026년 중개형 ISA 평생혜택계좌 수수료 혜택 보러오세요!</t>
        </is>
      </c>
      <c r="G14" s="2" t="inlineStr">
        <is>
          <t>2026/01/01</t>
        </is>
      </c>
      <c r="H14" s="2" t="inlineStr">
        <is>
          <t>2026/12/31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한국투자증권</t>
        </is>
      </c>
      <c r="B2" s="2" t="n">
        <v>1</v>
      </c>
      <c r="C2" s="2" t="inlineStr">
        <is>
          <t>진행중</t>
        </is>
      </c>
      <c r="D2" s="3">
        <f>HYPERLINK("https://securities.koreainvestment.com/main/customer/notice/Event.jsp?gubun=i&amp;cmd=TF04gb010002&amp;num=6703&amp;from=&amp;currentPage=1&amp;CUSTGUBUN=00&amp;focusYN=&amp;userRowsPerPage=10&amp;searchColumn=all&amp;searchValue=", "링크")</f>
        <v/>
      </c>
      <c r="E2" s="4" t="inlineStr">
        <is>
          <t>개인고객 금융상품잔고 100조원 돌파</t>
        </is>
      </c>
      <c r="F2" s="4" t="inlineStr">
        <is>
          <t>출석체크 및 상품가입 이벤트</t>
        </is>
      </c>
      <c r="G2" s="2" t="inlineStr">
        <is>
          <t xml:space="preserve">
2026/06/01
</t>
        </is>
      </c>
      <c r="H2" s="2" t="inlineStr">
        <is>
          <t xml:space="preserve">
2026/06/30</t>
        </is>
      </c>
    </row>
    <row r="3">
      <c r="A3" s="2" t="inlineStr">
        <is>
          <t>한국투자증권</t>
        </is>
      </c>
      <c r="B3" s="2" t="n">
        <v>2</v>
      </c>
      <c r="C3" s="2" t="inlineStr">
        <is>
          <t>진행중</t>
        </is>
      </c>
      <c r="D3" s="3">
        <f>HYPERLINK("https://securities.koreainvestment.com/main/customer/notice/Event.jsp?gubun=i&amp;cmd=TF04gb010002&amp;num=6709&amp;from=&amp;currentPage=1&amp;CUSTGUBUN=00&amp;focusYN=&amp;userRowsPerPage=10&amp;searchColumn=all&amp;searchValue=", "링크")</f>
        <v/>
      </c>
      <c r="E3" s="4" t="inlineStr">
        <is>
          <t>개인고객 금융상품잔고 100조원 돌파</t>
        </is>
      </c>
      <c r="F3" s="4" t="inlineStr">
        <is>
          <t>운용사 '코리아' 펀드 매수 이벤트</t>
        </is>
      </c>
      <c r="G3" s="2" t="inlineStr">
        <is>
          <t xml:space="preserve">
2026/06/01
</t>
        </is>
      </c>
      <c r="H3" s="2" t="inlineStr">
        <is>
          <t xml:space="preserve">
2026/06/30</t>
        </is>
      </c>
    </row>
    <row r="4">
      <c r="A4" s="2" t="inlineStr">
        <is>
          <t>한국투자증권</t>
        </is>
      </c>
      <c r="B4" s="2" t="n">
        <v>3</v>
      </c>
      <c r="C4" s="2" t="inlineStr">
        <is>
          <t>진행중</t>
        </is>
      </c>
      <c r="D4" s="3">
        <f>HYPERLINK("https://securities.koreainvestment.com/main/customer/notice/Event.jsp?gubun=i&amp;cmd=TF04gb010002&amp;num=6707&amp;from=&amp;currentPage=1&amp;CUSTGUBUN=00&amp;focusYN=&amp;userRowsPerPage=10&amp;searchColumn=all&amp;searchValue=", "링크")</f>
        <v/>
      </c>
      <c r="E4" s="4" t="inlineStr">
        <is>
          <t>뱅키스 ISA중개형 이벤트</t>
        </is>
      </c>
      <c r="F4" s="4" t="inlineStr">
        <is>
          <t>최대 91만원 + 호텔 2인식사권 기회</t>
        </is>
      </c>
      <c r="G4" s="2" t="inlineStr">
        <is>
          <t xml:space="preserve">
2026/06/01
</t>
        </is>
      </c>
      <c r="H4" s="2" t="inlineStr">
        <is>
          <t xml:space="preserve">
2026/07/31</t>
        </is>
      </c>
    </row>
    <row r="5">
      <c r="A5" s="2" t="inlineStr">
        <is>
          <t>한국투자증권</t>
        </is>
      </c>
      <c r="B5" s="2" t="n">
        <v>4</v>
      </c>
      <c r="C5" s="2" t="inlineStr">
        <is>
          <t>진행중</t>
        </is>
      </c>
      <c r="D5" s="3">
        <f>HYPERLINK("https://securities.koreainvestment.com/main/customer/notice/Event.jsp?gubun=i&amp;cmd=TF04gb010002&amp;num=6683&amp;from=&amp;currentPage=1&amp;CUSTGUBUN=00&amp;focusYN=&amp;userRowsPerPage=10&amp;searchColumn=all&amp;searchValue=", "링크")</f>
        <v/>
      </c>
      <c r="E5" s="4" t="inlineStr">
        <is>
          <t>ELS 투자의 정석</t>
        </is>
      </c>
      <c r="F5" s="4" t="inlineStr">
        <is>
          <t>ELS 투자하면 최대 15만원 혜택!!</t>
        </is>
      </c>
      <c r="G5" s="2" t="inlineStr">
        <is>
          <t xml:space="preserve">
2026/05/04
</t>
        </is>
      </c>
      <c r="H5" s="2" t="inlineStr">
        <is>
          <t xml:space="preserve">
2026/07/31</t>
        </is>
      </c>
    </row>
    <row r="6">
      <c r="A6" s="2" t="inlineStr">
        <is>
          <t>한국투자증권</t>
        </is>
      </c>
      <c r="B6" s="2" t="n">
        <v>5</v>
      </c>
      <c r="C6" s="2" t="inlineStr">
        <is>
          <t>진행중</t>
        </is>
      </c>
      <c r="D6" s="3">
        <f>HYPERLINK("https://securities.koreainvestment.com/main/customer/notice/Event.jsp?gubun=i&amp;cmd=TF04gb010002&amp;num=6710&amp;from=&amp;currentPage=1&amp;CUSTGUBUN=00&amp;focusYN=&amp;userRowsPerPage=10&amp;searchColumn=all&amp;searchValue=", "링크")</f>
        <v/>
      </c>
      <c r="E6" s="4" t="inlineStr">
        <is>
          <t>4회 실전투자대회 한투배틀!</t>
        </is>
      </c>
      <c r="F6" s="4" t="inlineStr">
        <is>
          <t>국내주식 4개 리그 총 상금 1,635만원!!</t>
        </is>
      </c>
      <c r="G6" s="2" t="inlineStr">
        <is>
          <t xml:space="preserve">
2026/06/05
</t>
        </is>
      </c>
      <c r="H6" s="2" t="inlineStr">
        <is>
          <t xml:space="preserve">
2026/07/03</t>
        </is>
      </c>
    </row>
    <row r="7">
      <c r="A7" s="2" t="inlineStr">
        <is>
          <t>한국투자증권</t>
        </is>
      </c>
      <c r="B7" s="2" t="n">
        <v>6</v>
      </c>
      <c r="C7" s="2" t="inlineStr">
        <is>
          <t>진행중</t>
        </is>
      </c>
      <c r="D7" s="3">
        <f>HYPERLINK("https://securities.koreainvestment.com/main/customer/notice/Event.jsp?gubun=i&amp;cmd=TF04gb010002&amp;num=6656&amp;from=&amp;currentPage=1&amp;CUSTGUBUN=00&amp;focusYN=&amp;userRowsPerPage=10&amp;searchColumn=all&amp;searchValue=", "링크")</f>
        <v/>
      </c>
      <c r="E7" s="4" t="inlineStr">
        <is>
          <t>뱅키스 국내채권 이벤트</t>
        </is>
      </c>
      <c r="F7" s="4" t="inlineStr">
        <is>
          <t>CMA로 빈틈없이 수익 챙기는 습관, 최대 5만원 혜택!!</t>
        </is>
      </c>
      <c r="G7" s="2" t="inlineStr">
        <is>
          <t xml:space="preserve">
2026/04/10
</t>
        </is>
      </c>
      <c r="H7" s="2" t="inlineStr">
        <is>
          <t xml:space="preserve">
2026/06/30</t>
        </is>
      </c>
    </row>
    <row r="8">
      <c r="A8" s="2" t="inlineStr">
        <is>
          <t>한국투자증권</t>
        </is>
      </c>
      <c r="B8" s="2" t="n">
        <v>7</v>
      </c>
      <c r="C8" s="2" t="inlineStr">
        <is>
          <t>진행중</t>
        </is>
      </c>
      <c r="D8" s="3">
        <f>HYPERLINK("https://securities.koreainvestment.com/main/customer/notice/Event.jsp?gubun=i&amp;cmd=TF04gb010002&amp;num=6676&amp;from=&amp;currentPage=1&amp;CUSTGUBUN=00&amp;focusYN=&amp;userRowsPerPage=10&amp;searchColumn=all&amp;searchValue=", "링크")</f>
        <v/>
      </c>
      <c r="E8" s="4" t="inlineStr">
        <is>
          <t>금현물 거래 시즌2 다시 만난 금!</t>
        </is>
      </c>
      <c r="F8" s="4" t="inlineStr">
        <is>
          <t>조건 충족시 즉시 1만원 혜택 지급</t>
        </is>
      </c>
      <c r="G8" s="2" t="inlineStr">
        <is>
          <t xml:space="preserve">
2026/05/11
</t>
        </is>
      </c>
      <c r="H8" s="2" t="inlineStr">
        <is>
          <t xml:space="preserve">
2026/06/30</t>
        </is>
      </c>
    </row>
    <row r="9">
      <c r="A9" s="2" t="inlineStr">
        <is>
          <t>한국투자증권</t>
        </is>
      </c>
      <c r="B9" s="2" t="n">
        <v>8</v>
      </c>
      <c r="C9" s="2" t="inlineStr">
        <is>
          <t>진행중</t>
        </is>
      </c>
      <c r="D9" s="3">
        <f>HYPERLINK("https://securities.koreainvestment.com/main/customer/notice/Event.jsp?gubun=i&amp;cmd=TF04gb010002&amp;num=6634&amp;from=&amp;currentPage=1&amp;CUSTGUBUN=00&amp;focusYN=&amp;userRowsPerPage=10&amp;searchColumn=all&amp;searchValue=", "링크")</f>
        <v/>
      </c>
      <c r="E9" s="4" t="inlineStr">
        <is>
          <t>2026 2분기 Horse Power ISA 이벤트</t>
        </is>
      </c>
      <c r="F9" s="4" t="inlineStr">
        <is>
          <t>ISA 이전, 펀드 매수하면 상품권 혜택이!</t>
        </is>
      </c>
      <c r="G9" s="2" t="inlineStr">
        <is>
          <t xml:space="preserve">
2026/04/01
</t>
        </is>
      </c>
      <c r="H9" s="2" t="inlineStr">
        <is>
          <t xml:space="preserve">
2026/06/30</t>
        </is>
      </c>
    </row>
    <row r="10">
      <c r="A10" s="2" t="inlineStr">
        <is>
          <t>한국투자증권</t>
        </is>
      </c>
      <c r="B10" s="2" t="n">
        <v>9</v>
      </c>
      <c r="C10" s="2" t="inlineStr">
        <is>
          <t>진행중</t>
        </is>
      </c>
      <c r="D10" s="3">
        <f>HYPERLINK("https://securities.koreainvestment.com/main/customer/notice/Event.jsp?gubun=i&amp;cmd=TF04gb010002&amp;num=6633&amp;from=&amp;currentPage=1&amp;CUSTGUBUN=00&amp;focusYN=&amp;userRowsPerPage=10&amp;searchColumn=all&amp;searchValue=", "링크")</f>
        <v/>
      </c>
      <c r="E10" s="4" t="inlineStr">
        <is>
          <t>2026 2분기 Horse Power 국내 주식 이벤트</t>
        </is>
      </c>
      <c r="F10" s="4" t="inlineStr">
        <is>
          <t>국내 주식 거래하고, 입고해서 상품권 받아가세요!</t>
        </is>
      </c>
      <c r="G10" s="2" t="inlineStr">
        <is>
          <t xml:space="preserve">
2026/04/01
</t>
        </is>
      </c>
      <c r="H10" s="2" t="inlineStr">
        <is>
          <t xml:space="preserve">
2026/06/30</t>
        </is>
      </c>
    </row>
    <row r="11">
      <c r="A11" s="2" t="inlineStr">
        <is>
          <t>한국투자증권</t>
        </is>
      </c>
      <c r="B11" s="2" t="n">
        <v>10</v>
      </c>
      <c r="C11" s="2" t="inlineStr">
        <is>
          <t>진행중</t>
        </is>
      </c>
      <c r="D11" s="3">
        <f>HYPERLINK("https://securities.koreainvestment.com/main/customer/notice/Event.jsp?gubun=i&amp;cmd=TF04gb010002&amp;num=6684&amp;from=&amp;currentPage=1&amp;CUSTGUBUN=00&amp;focusYN=&amp;userRowsPerPage=10&amp;searchColumn=all&amp;searchValue=", "링크")</f>
        <v/>
      </c>
      <c r="E11" s="4" t="inlineStr">
        <is>
          <t>뱅키스 운용사 ETF 이벤트</t>
        </is>
      </c>
      <c r="F11" s="4" t="inlineStr">
        <is>
          <t>ISA로 더블 업~ ETF 거래하고 최대 9만원 혜택!!</t>
        </is>
      </c>
      <c r="G11" s="2" t="inlineStr">
        <is>
          <t xml:space="preserve">
2026/04/30
</t>
        </is>
      </c>
      <c r="H11" s="2" t="inlineStr">
        <is>
          <t xml:space="preserve">
2026/06/30</t>
        </is>
      </c>
    </row>
    <row r="12">
      <c r="A12" s="2" t="inlineStr">
        <is>
          <t>한국투자증권</t>
        </is>
      </c>
      <c r="B12" s="2" t="n">
        <v>11</v>
      </c>
      <c r="C12" s="2" t="inlineStr">
        <is>
          <t>진행중</t>
        </is>
      </c>
      <c r="D12" s="3">
        <f>HYPERLINK("https://securities.koreainvestment.com/main/customer/notice/Event.jsp?gubun=i&amp;cmd=TF04gb010002&amp;num=6632&amp;from=&amp;currentPage=1&amp;CUSTGUBUN=00&amp;focusYN=&amp;userRowsPerPage=10&amp;searchColumn=all&amp;searchValue=", "링크")</f>
        <v/>
      </c>
      <c r="E12" s="4" t="inlineStr">
        <is>
          <t>2026 2분기 Horse Power 채권 입고 이벤트</t>
        </is>
      </c>
      <c r="F12" s="4" t="inlineStr">
        <is>
          <t>국내 채권 입고시 최대 150만원 혜택!</t>
        </is>
      </c>
      <c r="G12" s="2" t="inlineStr">
        <is>
          <t xml:space="preserve">
2026/04/01
</t>
        </is>
      </c>
      <c r="H12" s="2" t="inlineStr">
        <is>
          <t xml:space="preserve">
2026/06/30</t>
        </is>
      </c>
    </row>
    <row r="13">
      <c r="A13" s="2" t="inlineStr">
        <is>
          <t>한국투자증권</t>
        </is>
      </c>
      <c r="B13" s="2" t="n">
        <v>12</v>
      </c>
      <c r="C13" s="2" t="inlineStr">
        <is>
          <t>진행중</t>
        </is>
      </c>
      <c r="D13" s="3">
        <f>HYPERLINK("https://securities.koreainvestment.com/main/customer/notice/Event.jsp?gubun=i&amp;cmd=TF04gb010002&amp;num=6708&amp;from=&amp;currentPage=1&amp;CUSTGUBUN=00&amp;focusYN=&amp;userRowsPerPage=10&amp;searchColumn=all&amp;searchValue=", "링크")</f>
        <v/>
      </c>
      <c r="E13" s="4" t="inlineStr">
        <is>
          <t>ACE 고배당주Plus커버드콜액티브 이벤트</t>
        </is>
      </c>
      <c r="F13" s="4" t="inlineStr">
        <is>
          <t>ETF 거래하고 문화상품권 5만원 혜택 받으세요~!</t>
        </is>
      </c>
      <c r="G13" s="2" t="inlineStr">
        <is>
          <t xml:space="preserve">
2026/06/02
</t>
        </is>
      </c>
      <c r="H13" s="2" t="inlineStr">
        <is>
          <t xml:space="preserve">
2026/06/30</t>
        </is>
      </c>
    </row>
    <row r="14">
      <c r="A14" s="2" t="inlineStr">
        <is>
          <t>한국투자증권</t>
        </is>
      </c>
      <c r="B14" s="2" t="n">
        <v>13</v>
      </c>
      <c r="C14" s="2" t="inlineStr">
        <is>
          <t>진행중</t>
        </is>
      </c>
      <c r="D14" s="3">
        <f>HYPERLINK("https://securities.koreainvestment.com/main/customer/notice/Event.jsp?gubun=i&amp;cmd=TF04gb010002&amp;num=6706&amp;from=&amp;currentPage=1&amp;CUSTGUBUN=00&amp;focusYN=&amp;userRowsPerPage=10&amp;searchColumn=all&amp;searchValue=", "링크")</f>
        <v/>
      </c>
      <c r="E14" s="4" t="inlineStr">
        <is>
          <t>IRP X 개인연금 이벤트</t>
        </is>
      </c>
      <c r="F14" s="4" t="inlineStr">
        <is>
          <t>한국인의 연금 텐텐 달성 기념!</t>
        </is>
      </c>
      <c r="G14" s="2" t="inlineStr">
        <is>
          <t xml:space="preserve">
2026/06/01
</t>
        </is>
      </c>
      <c r="H14" s="2" t="inlineStr">
        <is>
          <t xml:space="preserve">
2026/07/31</t>
        </is>
      </c>
    </row>
    <row r="15">
      <c r="A15" s="2" t="inlineStr">
        <is>
          <t>한국투자증권</t>
        </is>
      </c>
      <c r="B15" s="2" t="n">
        <v>14</v>
      </c>
      <c r="C15" s="2" t="inlineStr">
        <is>
          <t>진행중</t>
        </is>
      </c>
      <c r="D15" s="3">
        <f>HYPERLINK("https://securities.koreainvestment.com/main/customer/notice/Event.jsp?gubun=i&amp;cmd=TF04gb010002&amp;num=6705&amp;from=&amp;currentPage=1&amp;CUSTGUBUN=00&amp;focusYN=&amp;userRowsPerPage=10&amp;searchColumn=all&amp;searchValue=", "링크")</f>
        <v/>
      </c>
      <c r="E15" s="4" t="inlineStr">
        <is>
          <t>ISA 만기자금 연금전환 이벤트</t>
        </is>
      </c>
      <c r="F15" s="4" t="inlineStr">
        <is>
          <t>한투+타사 ISA 연금으로 이전하세요!</t>
        </is>
      </c>
      <c r="G15" s="2" t="inlineStr">
        <is>
          <t xml:space="preserve">
2026/06/01
</t>
        </is>
      </c>
      <c r="H15" s="2" t="inlineStr">
        <is>
          <t xml:space="preserve">
2026/07/31</t>
        </is>
      </c>
    </row>
    <row r="16">
      <c r="A16" s="2" t="inlineStr">
        <is>
          <t>한국투자증권</t>
        </is>
      </c>
      <c r="B16" s="2" t="n">
        <v>15</v>
      </c>
      <c r="C16" s="2" t="inlineStr">
        <is>
          <t>진행중</t>
        </is>
      </c>
      <c r="D16" s="3">
        <f>HYPERLINK("https://securities.koreainvestment.com/main/customer/notice/Event.jsp?gubun=i&amp;cmd=TF04gb010002&amp;num=6702&amp;from=&amp;currentPage=1&amp;CUSTGUBUN=00&amp;focusYN=&amp;userRowsPerPage=10&amp;searchColumn=all&amp;searchValue=", "링크")</f>
        <v/>
      </c>
      <c r="E16" s="4" t="inlineStr">
        <is>
          <t>운용사 반도체 테크 ETF 일별 거래이벤트</t>
        </is>
      </c>
      <c r="F16" s="4" t="inlineStr">
        <is>
          <t>ETF 거래하고 문화상품권 5만원 혜택 받으세요~!</t>
        </is>
      </c>
      <c r="G16" s="2" t="inlineStr">
        <is>
          <t xml:space="preserve">
2026/06/08
</t>
        </is>
      </c>
      <c r="H16" s="2" t="inlineStr">
        <is>
          <t xml:space="preserve">
2026/07/03</t>
        </is>
      </c>
    </row>
    <row r="17">
      <c r="A17" s="2" t="inlineStr">
        <is>
          <t>한국투자증권</t>
        </is>
      </c>
      <c r="B17" s="2" t="n">
        <v>16</v>
      </c>
      <c r="C17" s="2" t="inlineStr">
        <is>
          <t>진행중</t>
        </is>
      </c>
      <c r="D17" s="3">
        <f>HYPERLINK("https://securities.koreainvestment.com/main/customer/notice/Event.jsp?gubun=i&amp;cmd=TF04gb010002&amp;num=6700&amp;from=&amp;currentPage=1&amp;CUSTGUBUN=00&amp;focusYN=&amp;userRowsPerPage=10&amp;searchColumn=all&amp;searchValue=", "링크")</f>
        <v/>
      </c>
      <c r="E17" s="4" t="inlineStr">
        <is>
          <t>국내 주식모으기 프로모션</t>
        </is>
      </c>
      <c r="F17" s="4" t="inlineStr">
        <is>
          <t>조건 충족시 즉시 3천 원 지급(선착순 3만 명)</t>
        </is>
      </c>
      <c r="G17" s="2" t="inlineStr">
        <is>
          <t xml:space="preserve">
2026/05/15
</t>
        </is>
      </c>
      <c r="H17" s="2" t="inlineStr">
        <is>
          <t xml:space="preserve">
2026/07/31</t>
        </is>
      </c>
    </row>
    <row r="18">
      <c r="A18" s="2" t="inlineStr">
        <is>
          <t>한국투자증권</t>
        </is>
      </c>
      <c r="B18" s="2" t="n">
        <v>17</v>
      </c>
      <c r="C18" s="2" t="inlineStr">
        <is>
          <t>진행중</t>
        </is>
      </c>
      <c r="D18" s="3">
        <f>HYPERLINK("https://securities.koreainvestment.com/main/customer/notice/Event.jsp?gubun=i&amp;cmd=TF04gb010002&amp;num=6698&amp;from=&amp;currentPage=1&amp;CUSTGUBUN=00&amp;focusYN=&amp;userRowsPerPage=10&amp;searchColumn=all&amp;searchValue=", "링크")</f>
        <v/>
      </c>
      <c r="E18" s="4" t="inlineStr">
        <is>
          <t>뱅키스 발행어음 갖기 이벤트</t>
        </is>
      </c>
      <c r="F18" s="4" t="inlineStr">
        <is>
          <t>발행어음 시작하고 0.5% 캐시백 + 최대 10만원 혜택!!</t>
        </is>
      </c>
      <c r="G18" s="2" t="inlineStr">
        <is>
          <t xml:space="preserve">
2026/05/20
</t>
        </is>
      </c>
      <c r="H18" s="2" t="inlineStr">
        <is>
          <t xml:space="preserve">
2026/06/30</t>
        </is>
      </c>
    </row>
    <row r="19">
      <c r="A19" s="2" t="inlineStr">
        <is>
          <t>한국투자증권</t>
        </is>
      </c>
      <c r="B19" s="2" t="n">
        <v>18</v>
      </c>
      <c r="C19" s="2" t="inlineStr">
        <is>
          <t>진행중</t>
        </is>
      </c>
      <c r="D19" s="3">
        <f>HYPERLINK("https://securities.koreainvestment.com/main/customer/notice/Event.jsp?gubun=i&amp;cmd=TF04gb010002&amp;num=6695&amp;from=&amp;currentPage=1&amp;CUSTGUBUN=00&amp;focusYN=&amp;userRowsPerPage=10&amp;searchColumn=all&amp;searchValue=", "링크")</f>
        <v/>
      </c>
      <c r="E19" s="4" t="inlineStr">
        <is>
          <t>뱅키스 대학생 클라스업</t>
        </is>
      </c>
      <c r="F19" s="4" t="inlineStr">
        <is>
          <t>커피도 받고 ~투자 교육도 받아요 !!</t>
        </is>
      </c>
      <c r="G19" s="2" t="inlineStr">
        <is>
          <t xml:space="preserve">
2026/05/11
</t>
        </is>
      </c>
      <c r="H19" s="2" t="inlineStr">
        <is>
          <t xml:space="preserve">
2026/08/31</t>
        </is>
      </c>
    </row>
    <row r="20">
      <c r="A20" s="2" t="inlineStr">
        <is>
          <t>한국투자증권</t>
        </is>
      </c>
      <c r="B20" s="2" t="n">
        <v>19</v>
      </c>
      <c r="C20" s="2" t="inlineStr">
        <is>
          <t>진행중</t>
        </is>
      </c>
      <c r="D20" s="3">
        <f>HYPERLINK("https://securities.koreainvestment.com/main/customer/notice/Event.jsp?gubun=i&amp;cmd=TF04gb010002&amp;num=6677&amp;from=&amp;currentPage=1&amp;CUSTGUBUN=00&amp;focusYN=&amp;userRowsPerPage=10&amp;searchColumn=all&amp;searchValue=", "링크")</f>
        <v/>
      </c>
      <c r="E20" s="4" t="inlineStr">
        <is>
          <t>국내주식 거래하면 최대 100만원 축하금 지급</t>
        </is>
      </c>
      <c r="F20" s="4" t="inlineStr">
        <is>
          <t>매주 추첨 거래 구간별 혜택 지급!!</t>
        </is>
      </c>
      <c r="G20" s="2" t="inlineStr">
        <is>
          <t xml:space="preserve">
2026/04/27
</t>
        </is>
      </c>
      <c r="H20" s="2" t="inlineStr">
        <is>
          <t xml:space="preserve">
2026/06/19</t>
        </is>
      </c>
    </row>
    <row r="21">
      <c r="A21" s="2" t="inlineStr">
        <is>
          <t>한국투자증권</t>
        </is>
      </c>
      <c r="B21" s="2" t="n">
        <v>20</v>
      </c>
      <c r="C21" s="2" t="inlineStr">
        <is>
          <t>진행중</t>
        </is>
      </c>
      <c r="D21" s="3">
        <f>HYPERLINK("https://securities.koreainvestment.com/main/customer/notice/Event.jsp?gubun=i&amp;cmd=TF04gb010002&amp;num=6657&amp;from=&amp;currentPage=1&amp;CUSTGUBUN=00&amp;focusYN=&amp;userRowsPerPage=10&amp;searchColumn=all&amp;searchValue=", "링크")</f>
        <v/>
      </c>
      <c r="E21" s="4" t="inlineStr">
        <is>
          <t>국내 선물옵션 거래준비 + 레벨업</t>
        </is>
      </c>
      <c r="F21" s="4" t="inlineStr">
        <is>
          <t>사전교육 &amp; 모의거래 2만원, 첫 거래시 3만원 혜택!</t>
        </is>
      </c>
      <c r="G21" s="2" t="inlineStr">
        <is>
          <t xml:space="preserve">
2026/04/13
</t>
        </is>
      </c>
      <c r="H21" s="2" t="inlineStr">
        <is>
          <t xml:space="preserve">
2026/06/11
</t>
        </is>
      </c>
    </row>
    <row r="22">
      <c r="A22" s="2" t="inlineStr">
        <is>
          <t>한국투자증권</t>
        </is>
      </c>
      <c r="B22" s="2" t="n">
        <v>21</v>
      </c>
      <c r="C22" s="2" t="inlineStr">
        <is>
          <t>진행중</t>
        </is>
      </c>
      <c r="D22" s="3">
        <f>HYPERLINK("https://securities.koreainvestment.com/main/customer/notice/Event.jsp?gubun=i&amp;cmd=TF04gb010002&amp;num=6615&amp;from=&amp;currentPage=1&amp;CUSTGUBUN=00&amp;focusYN=&amp;userRowsPerPage=10&amp;searchColumn=all&amp;searchValue=", "링크")</f>
        <v/>
      </c>
      <c r="E22" s="4" t="inlineStr">
        <is>
          <t>개인연금 TDF.ETF 매수 이벤트</t>
        </is>
      </c>
      <c r="F22" s="4" t="inlineStr">
        <is>
          <t>모바일 문화상품권 최대 36만원 혜택!!</t>
        </is>
      </c>
      <c r="G22" s="2" t="inlineStr">
        <is>
          <t xml:space="preserve">
2026/04/01
</t>
        </is>
      </c>
      <c r="H22" s="2" t="inlineStr">
        <is>
          <t xml:space="preserve">
2026/06/30</t>
        </is>
      </c>
    </row>
    <row r="23">
      <c r="A23" s="2" t="inlineStr">
        <is>
          <t>한국투자증권</t>
        </is>
      </c>
      <c r="B23" s="2" t="n">
        <v>22</v>
      </c>
      <c r="C23" s="2" t="inlineStr">
        <is>
          <t>진행중</t>
        </is>
      </c>
      <c r="D23" s="3">
        <f>HYPERLINK("https://securities.koreainvestment.com/main/customer/notice/Event.jsp?gubun=i&amp;cmd=TF04gb010002&amp;num=6614&amp;from=&amp;currentPage=1&amp;CUSTGUBUN=00&amp;focusYN=&amp;userRowsPerPage=10&amp;searchColumn=all&amp;searchValue=", "링크")</f>
        <v/>
      </c>
      <c r="E23" s="4" t="inlineStr">
        <is>
          <t>퇴직연금 TDF.ETF 매수 이벤트</t>
        </is>
      </c>
      <c r="F23" s="4" t="inlineStr">
        <is>
          <t>모바일 문화상품권 최대 3만원 혜택!!</t>
        </is>
      </c>
      <c r="G23" s="2" t="inlineStr">
        <is>
          <t xml:space="preserve">
2026/04/01
</t>
        </is>
      </c>
      <c r="H23" s="2" t="inlineStr">
        <is>
          <t xml:space="preserve">
2026/06/30</t>
        </is>
      </c>
    </row>
    <row r="24">
      <c r="A24" s="2" t="inlineStr">
        <is>
          <t>한국투자증권</t>
        </is>
      </c>
      <c r="B24" s="2" t="n">
        <v>23</v>
      </c>
      <c r="C24" s="2" t="inlineStr">
        <is>
          <t>진행중</t>
        </is>
      </c>
      <c r="D24" s="3">
        <f>HYPERLINK("https://securities.koreainvestment.com/main/customer/notice/Event.jsp?gubun=i&amp;cmd=TF04gb010002&amp;num=6613&amp;from=&amp;currentPage=1&amp;CUSTGUBUN=00&amp;focusYN=&amp;userRowsPerPage=10&amp;searchColumn=all&amp;searchValue=", "링크")</f>
        <v/>
      </c>
      <c r="E24" s="4" t="inlineStr">
        <is>
          <t>퇴직연금 DC 신규 가입 이벤트</t>
        </is>
      </c>
      <c r="F24" s="4" t="inlineStr">
        <is>
          <t>DC 신규 입금하면 3만원 100% 증정혜택!!</t>
        </is>
      </c>
      <c r="G24" s="2" t="inlineStr">
        <is>
          <t xml:space="preserve">
2026/04/01
</t>
        </is>
      </c>
      <c r="H24" s="2" t="inlineStr">
        <is>
          <t xml:space="preserve">
2026/06/30</t>
        </is>
      </c>
    </row>
    <row r="25">
      <c r="A25" s="2" t="inlineStr">
        <is>
          <t>한국투자증권</t>
        </is>
      </c>
      <c r="B25" s="2" t="n">
        <v>24</v>
      </c>
      <c r="C25" s="2" t="inlineStr">
        <is>
          <t>진행중</t>
        </is>
      </c>
      <c r="D25" s="3">
        <f>HYPERLINK("https://securities.koreainvestment.com/main/customer/notice/Event.jsp?gubun=i&amp;cmd=TF04gb010002&amp;num=6610&amp;from=&amp;currentPage=1&amp;CUSTGUBUN=00&amp;focusYN=&amp;userRowsPerPage=10&amp;searchColumn=all&amp;searchValue=", "링크")</f>
        <v/>
      </c>
      <c r="E25" s="4" t="inlineStr">
        <is>
          <t>국내주식 온라인 거래수수료 우대 혜택 이벤트</t>
        </is>
      </c>
      <c r="F25" s="4" t="inlineStr">
        <is>
          <t>처음 거래하신다면? 최대 180일까지 우대수수료 신청하세요!</t>
        </is>
      </c>
      <c r="G25" s="2" t="inlineStr">
        <is>
          <t xml:space="preserve">
2026/04/01
</t>
        </is>
      </c>
      <c r="H25" s="2" t="inlineStr">
        <is>
          <t xml:space="preserve">
2026/06/30</t>
        </is>
      </c>
    </row>
    <row r="26">
      <c r="A26" s="2" t="inlineStr">
        <is>
          <t>한국투자증권</t>
        </is>
      </c>
      <c r="B26" s="2" t="n">
        <v>25</v>
      </c>
      <c r="C26" s="2" t="inlineStr">
        <is>
          <t>진행중</t>
        </is>
      </c>
      <c r="D26" s="3">
        <f>HYPERLINK("https://securities.koreainvestment.com/main/customer/notice/Event.jsp?gubun=i&amp;cmd=TF04gb010002&amp;num=6554&amp;from=&amp;currentPage=1&amp;CUSTGUBUN=00&amp;focusYN=&amp;userRowsPerPage=10&amp;searchColumn=all&amp;searchValue=", "링크")</f>
        <v/>
      </c>
      <c r="E26" s="4" t="inlineStr">
        <is>
          <t>뱅키스 국내선물옵션 수수료 할인 이벤트</t>
        </is>
      </c>
      <c r="F26" s="4" t="inlineStr">
        <is>
          <t>선물옵션 거래하고~ 최대 97% 수수료 할인혜택 받아가세요~!</t>
        </is>
      </c>
      <c r="G26" s="2" t="inlineStr">
        <is>
          <t xml:space="preserve">
2026/01/02
</t>
        </is>
      </c>
      <c r="H26" s="2" t="inlineStr">
        <is>
          <t xml:space="preserve">
2026/06/30</t>
        </is>
      </c>
    </row>
    <row r="27">
      <c r="A27" s="2" t="inlineStr">
        <is>
          <t>한국투자증권</t>
        </is>
      </c>
      <c r="B27" s="2" t="n">
        <v>26</v>
      </c>
      <c r="C27" s="2" t="inlineStr">
        <is>
          <t>진행중</t>
        </is>
      </c>
      <c r="D27" s="3">
        <f>HYPERLINK("https://securities.koreainvestment.com/main/customer/notice/Event.jsp?gubun=i&amp;cmd=TF04gb010002&amp;num=6518&amp;from=&amp;currentPage=1&amp;CUSTGUBUN=00&amp;focusYN=&amp;userRowsPerPage=10&amp;searchColumn=all&amp;searchValue=", "링크")</f>
        <v/>
      </c>
      <c r="E27" s="4" t="inlineStr">
        <is>
          <t>우리아이 첫 투자 한국투자증권과 함께!</t>
        </is>
      </c>
      <c r="F27" s="4" t="inlineStr">
        <is>
          <t>첫투자하고 ~국내주식 2주 + 네이버페이 5천원까지 혜택받으세요~!</t>
        </is>
      </c>
      <c r="G27" s="2" t="inlineStr">
        <is>
          <t xml:space="preserve">
2026/06/01
</t>
        </is>
      </c>
      <c r="H27" s="2" t="inlineStr">
        <is>
          <t xml:space="preserve">
2026/06/30</t>
        </is>
      </c>
    </row>
    <row r="28">
      <c r="A28" s="2" t="inlineStr">
        <is>
          <t>한국투자증권</t>
        </is>
      </c>
      <c r="B28" s="2" t="n">
        <v>27</v>
      </c>
      <c r="C28" s="2" t="inlineStr">
        <is>
          <t>진행중</t>
        </is>
      </c>
      <c r="D28" s="3">
        <f>HYPERLINK("https://securities.koreainvestment.com/main/customer/notice/Event.jsp?gubun=i&amp;cmd=TF04gb010002&amp;num=6137&amp;from=&amp;currentPage=1&amp;CUSTGUBUN=00&amp;focusYN=&amp;userRowsPerPage=10&amp;searchColumn=all&amp;searchValue=", "링크")</f>
        <v/>
      </c>
      <c r="E28" s="4" t="inlineStr">
        <is>
          <t>연금저축 온라인 매매수수료 우대 이벤트</t>
        </is>
      </c>
      <c r="F28" s="4" t="inlineStr">
        <is>
          <t>수수료 우대로 든든하니깐 ~ 연금저축 온라인 매매수수료 우대 혜택받아가세요~!</t>
        </is>
      </c>
      <c r="G28" s="2" t="inlineStr">
        <is>
          <t xml:space="preserve">
2024/12/20
</t>
        </is>
      </c>
      <c r="H28" s="2" t="inlineStr">
        <is>
          <t xml:space="preserve">
2026/12/31</t>
        </is>
      </c>
    </row>
    <row r="29">
      <c r="A29" s="2" t="inlineStr">
        <is>
          <t>한국투자증권</t>
        </is>
      </c>
      <c r="B29" s="2" t="n">
        <v>28</v>
      </c>
      <c r="C29" s="2" t="inlineStr">
        <is>
          <t>진행중</t>
        </is>
      </c>
      <c r="D29" s="3">
        <f>HYPERLINK("https://securities.koreainvestment.com/main/customer/notice/Event.jsp?gubun=i&amp;cmd=TF04gb010002&amp;num=2432&amp;from=&amp;currentPage=1&amp;CUSTGUBUN=00&amp;focusYN=&amp;userRowsPerPage=10&amp;searchColumn=all&amp;searchValue=", "링크")</f>
        <v/>
      </c>
      <c r="E29" s="4" t="inlineStr">
        <is>
          <t>BanKIS 신규 계좌개설 이벤트</t>
        </is>
      </c>
      <c r="F29" s="4" t="inlineStr">
        <is>
          <t>최초 신규계좌개설 고객이라면? 국내주식 2주 + 2030 추가 혜택까지!</t>
        </is>
      </c>
      <c r="G29" s="2" t="inlineStr">
        <is>
          <t xml:space="preserve">
2026/06/01
</t>
        </is>
      </c>
      <c r="H29" s="2" t="inlineStr">
        <is>
          <t xml:space="preserve">
2026/06/30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나무증권</t>
        </is>
      </c>
      <c r="B2" s="2" t="n">
        <v>1</v>
      </c>
      <c r="C2" s="2" t="inlineStr"/>
      <c r="D2" s="3">
        <f>HYPERLINK("https://m.mynamuh.com/customer/event/eventView?mNo=1003&amp;t=1780963812350", "링크")</f>
        <v/>
      </c>
      <c r="E2" s="4" t="inlineStr">
        <is>
          <t>대여풀 등록하고 주식 이자 받자!</t>
        </is>
      </c>
      <c r="F2" s="4" t="inlineStr"/>
      <c r="G2" s="2" t="inlineStr">
        <is>
          <t>2026/04/30</t>
        </is>
      </c>
      <c r="H2" s="2" t="inlineStr">
        <is>
          <t>2026/07/31</t>
        </is>
      </c>
    </row>
    <row r="3">
      <c r="A3" s="2" t="inlineStr">
        <is>
          <t>나무증권</t>
        </is>
      </c>
      <c r="B3" s="2" t="n">
        <v>2</v>
      </c>
      <c r="C3" s="2" t="inlineStr"/>
      <c r="D3" s="3">
        <f>HYPERLINK("https://m.mynamuh.com/customer/event/eventView?mNo=1001&amp;t=1780963816831", "링크")</f>
        <v/>
      </c>
      <c r="E3" s="4" t="inlineStr">
        <is>
          <t>26년 IRP 순입금/이전 2차 이벤트</t>
        </is>
      </c>
      <c r="F3" s="4" t="inlineStr"/>
      <c r="G3" s="2" t="inlineStr">
        <is>
          <t>2026/05/01</t>
        </is>
      </c>
      <c r="H3" s="2" t="inlineStr">
        <is>
          <t>2026/08/31</t>
        </is>
      </c>
    </row>
    <row r="4">
      <c r="A4" s="2" t="inlineStr">
        <is>
          <t>나무증권</t>
        </is>
      </c>
      <c r="B4" s="2" t="n">
        <v>3</v>
      </c>
      <c r="C4" s="2" t="inlineStr"/>
      <c r="D4" s="3">
        <f>HYPERLINK("https://m.mynamuh.com/customer/event/eventView?mNo=999&amp;t=1780963820366", "링크")</f>
        <v/>
      </c>
      <c r="E4" s="4" t="inlineStr">
        <is>
          <t>퇴직연금 자동운용 포트폴리오로 쉽게 투자하자 이벤트</t>
        </is>
      </c>
      <c r="F4" s="4" t="inlineStr"/>
      <c r="G4" s="2" t="inlineStr">
        <is>
          <t>2026/05/01</t>
        </is>
      </c>
      <c r="H4" s="2" t="inlineStr">
        <is>
          <t>2026/08/31</t>
        </is>
      </c>
    </row>
    <row r="5">
      <c r="A5" s="2" t="inlineStr">
        <is>
          <t>나무증권</t>
        </is>
      </c>
      <c r="B5" s="2" t="n">
        <v>4</v>
      </c>
      <c r="C5" s="2" t="inlineStr"/>
      <c r="D5" s="3">
        <f>HYPERLINK("https://m.mynamuh.com/customer/event/eventView?mNo=993&amp;t=1780963824063", "링크")</f>
        <v/>
      </c>
      <c r="E5" s="4" t="inlineStr">
        <is>
          <t>&lt;제 1회 단체연금&gt; 실전투자대회</t>
        </is>
      </c>
      <c r="F5" s="4" t="inlineStr"/>
      <c r="G5" s="2" t="inlineStr">
        <is>
          <t>2026/04/20</t>
        </is>
      </c>
      <c r="H5" s="2" t="inlineStr">
        <is>
          <t>2026/11/30</t>
        </is>
      </c>
    </row>
    <row r="6">
      <c r="A6" s="2" t="inlineStr">
        <is>
          <t>나무증권</t>
        </is>
      </c>
      <c r="B6" s="2" t="n">
        <v>5</v>
      </c>
      <c r="C6" s="2" t="inlineStr"/>
      <c r="D6" s="3">
        <f>HYPERLINK("https://m.mynamuh.com/customer/event/eventView?mNo=986&amp;t=1780963828690", "링크")</f>
        <v/>
      </c>
      <c r="E6" s="4" t="inlineStr">
        <is>
          <t>단체연금고객 연금저축 순입금 이벤트 시즌2</t>
        </is>
      </c>
      <c r="F6" s="4" t="inlineStr"/>
      <c r="G6" s="2" t="inlineStr">
        <is>
          <t>2026/04/01</t>
        </is>
      </c>
      <c r="H6" s="2" t="inlineStr">
        <is>
          <t>2026/06/30</t>
        </is>
      </c>
    </row>
    <row r="7">
      <c r="A7" s="2" t="inlineStr">
        <is>
          <t>나무증권</t>
        </is>
      </c>
      <c r="B7" s="2" t="n">
        <v>6</v>
      </c>
      <c r="C7" s="2" t="inlineStr"/>
      <c r="D7" s="3">
        <f>HYPERLINK("https://m.mynamuh.com/customer/event/eventView?mNo=985&amp;t=1780963832180", "링크")</f>
        <v/>
      </c>
      <c r="E7" s="4" t="inlineStr">
        <is>
          <t>DC신규가입이벤트 시즌2</t>
        </is>
      </c>
      <c r="F7" s="4" t="inlineStr"/>
      <c r="G7" s="2" t="inlineStr">
        <is>
          <t>2026/04/01</t>
        </is>
      </c>
      <c r="H7" s="2" t="inlineStr">
        <is>
          <t>2026/06/30</t>
        </is>
      </c>
    </row>
    <row r="8">
      <c r="A8" s="2" t="inlineStr">
        <is>
          <t>나무증권</t>
        </is>
      </c>
      <c r="B8" s="2" t="n">
        <v>7</v>
      </c>
      <c r="C8" s="2" t="inlineStr"/>
      <c r="D8" s="3">
        <f>HYPERLINK("https://m.mynamuh.com/customer/event/eventView?mNo=976&amp;t=1780963835816", "링크")</f>
        <v/>
      </c>
      <c r="E8" s="4" t="inlineStr">
        <is>
          <t>SSG랜더스 야구보러 가자!</t>
        </is>
      </c>
      <c r="F8" s="4" t="inlineStr"/>
      <c r="G8" s="2" t="inlineStr">
        <is>
          <t>2026/03/23</t>
        </is>
      </c>
      <c r="H8" s="2" t="inlineStr">
        <is>
          <t>2026/07/05</t>
        </is>
      </c>
    </row>
    <row r="9">
      <c r="A9" s="2" t="inlineStr">
        <is>
          <t>나무증권</t>
        </is>
      </c>
      <c r="B9" s="2" t="n">
        <v>8</v>
      </c>
      <c r="C9" s="2" t="inlineStr"/>
      <c r="D9" s="3">
        <f>HYPERLINK("https://m.mynamuh.com/customer/event/eventView?mNo=972&amp;t=1780963839743", "링크")</f>
        <v/>
      </c>
      <c r="E9" s="4" t="inlineStr">
        <is>
          <t>연금저축 TDF 셋업 이벤트</t>
        </is>
      </c>
      <c r="F9" s="4" t="inlineStr"/>
      <c r="G9" s="2" t="inlineStr">
        <is>
          <t>2026/03/16</t>
        </is>
      </c>
      <c r="H9" s="2" t="inlineStr">
        <is>
          <t>2026/07/31</t>
        </is>
      </c>
    </row>
    <row r="10">
      <c r="A10" s="2" t="inlineStr">
        <is>
          <t>나무증권</t>
        </is>
      </c>
      <c r="B10" s="2" t="n">
        <v>9</v>
      </c>
      <c r="C10" s="2" t="inlineStr"/>
      <c r="D10" s="3">
        <f>HYPERLINK("https://m.mynamuh.com/customer/event/eventView?mNo=574&amp;t=1780963843133", "링크")</f>
        <v/>
      </c>
      <c r="E10" s="4" t="inlineStr">
        <is>
          <t>NH투자증권 연금계좌3종 개설하기</t>
        </is>
      </c>
      <c r="F10" s="4" t="inlineStr"/>
      <c r="G10" s="2" t="inlineStr">
        <is>
          <t>2026/03/12</t>
        </is>
      </c>
      <c r="H10" s="2" t="inlineStr">
        <is>
          <t>2027/02/19</t>
        </is>
      </c>
    </row>
    <row r="11">
      <c r="A11" s="2" t="inlineStr">
        <is>
          <t>나무증권</t>
        </is>
      </c>
      <c r="B11" s="2" t="n">
        <v>10</v>
      </c>
      <c r="C11" s="2" t="inlineStr"/>
      <c r="D11" s="3">
        <f>HYPERLINK("https://m.mynamuh.com/customer/event/eventView?mNo=965&amp;t=1780963846527", "링크")</f>
        <v/>
      </c>
      <c r="E11" s="4" t="inlineStr">
        <is>
          <t>퇴직연금 ELS 가입 이벤트</t>
        </is>
      </c>
      <c r="F11" s="4" t="inlineStr"/>
      <c r="G11" s="2" t="inlineStr">
        <is>
          <t>2026/03/03</t>
        </is>
      </c>
      <c r="H11" s="2" t="inlineStr">
        <is>
          <t>2026/06/30</t>
        </is>
      </c>
    </row>
    <row r="12">
      <c r="A12" s="2" t="inlineStr">
        <is>
          <t>나무증권</t>
        </is>
      </c>
      <c r="B12" s="2" t="n">
        <v>11</v>
      </c>
      <c r="C12" s="2" t="inlineStr"/>
      <c r="D12" s="3">
        <f>HYPERLINK("https://m.mynamuh.com/customer/event/eventView?mNo=952&amp;t=1780963849897", "링크")</f>
        <v/>
      </c>
      <c r="E12" s="4" t="inlineStr">
        <is>
          <t>나무 중개형 ISA 계좌개설 이벤트</t>
        </is>
      </c>
      <c r="F12" s="4" t="inlineStr"/>
      <c r="G12" s="2" t="inlineStr">
        <is>
          <t>2026/02/01</t>
        </is>
      </c>
      <c r="H12" s="2" t="inlineStr">
        <is>
          <t>2027/01/31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5" customWidth="1" min="4" max="4"/>
    <col width="70" customWidth="1" min="5" max="5"/>
    <col width="70" customWidth="1" min="6" max="6"/>
    <col width="13" customWidth="1" min="7" max="7"/>
    <col width="13" customWidth="1" min="8" max="8"/>
  </cols>
  <sheetData>
    <row r="1">
      <c r="A1" s="1" t="inlineStr">
        <is>
          <t>증권사</t>
        </is>
      </c>
      <c r="B1" s="1" t="inlineStr">
        <is>
          <t>번호</t>
        </is>
      </c>
      <c r="C1" s="1" t="inlineStr">
        <is>
          <t>구분</t>
        </is>
      </c>
      <c r="D1" s="1">
        <f>HYPERLINK("url", "링크")</f>
        <v/>
      </c>
      <c r="E1" s="1" t="inlineStr">
        <is>
          <t>제목</t>
        </is>
      </c>
      <c r="F1" s="1" t="inlineStr">
        <is>
          <t>내용</t>
        </is>
      </c>
      <c r="G1" s="1" t="inlineStr">
        <is>
          <t>시작일</t>
        </is>
      </c>
      <c r="H1" s="1" t="inlineStr">
        <is>
          <t>종료일</t>
        </is>
      </c>
    </row>
    <row r="2">
      <c r="A2" s="2" t="inlineStr">
        <is>
          <t>KB증권</t>
        </is>
      </c>
      <c r="B2" s="2" t="n">
        <v>1</v>
      </c>
      <c r="C2" s="2" t="inlineStr">
        <is>
          <t>연금/ISA</t>
        </is>
      </c>
      <c r="D2" s="3">
        <f>HYPERLINK("https://www.kbsec.com/go.able?linkcd=s060902030000&amp;seq=10009913&amp;idt=20260529&amp;clsfcd=4&amp;gubun=1", "링크")</f>
        <v/>
      </c>
      <c r="E2" s="4" t="inlineStr">
        <is>
          <t>중개형ISA 순입금(이전) 이벤트 시즌3</t>
        </is>
      </c>
      <c r="F2" s="4" t="inlineStr"/>
      <c r="G2" s="2" t="inlineStr">
        <is>
          <t>2026/06/01</t>
        </is>
      </c>
      <c r="H2" s="2" t="inlineStr">
        <is>
          <t>2026/08/31</t>
        </is>
      </c>
    </row>
    <row r="3">
      <c r="A3" s="2" t="inlineStr">
        <is>
          <t>KB증권</t>
        </is>
      </c>
      <c r="B3" s="2" t="n">
        <v>2</v>
      </c>
      <c r="C3" s="2" t="inlineStr">
        <is>
          <t>국내주식</t>
        </is>
      </c>
      <c r="D3" s="3">
        <f>HYPERLINK("https://www.kbsec.com/go.able?linkcd=s060902030000&amp;seq=10009884&amp;idt=20260522&amp;clsfcd=1&amp;gubun=1", "링크")</f>
        <v/>
      </c>
      <c r="E3" s="4" t="inlineStr">
        <is>
          <t>KB와 시작하면 쏟아지는 혜택</t>
        </is>
      </c>
      <c r="F3" s="4" t="inlineStr"/>
      <c r="G3" s="2" t="inlineStr">
        <is>
          <t>2026/06/01</t>
        </is>
      </c>
      <c r="H3" s="2" t="inlineStr">
        <is>
          <t>2026/09/30</t>
        </is>
      </c>
    </row>
    <row r="4">
      <c r="A4" s="2" t="inlineStr">
        <is>
          <t>KB증권</t>
        </is>
      </c>
      <c r="B4" s="2" t="n">
        <v>3</v>
      </c>
      <c r="C4" s="2" t="inlineStr">
        <is>
          <t>국내주식</t>
        </is>
      </c>
      <c r="D4" s="3">
        <f>HYPERLINK("https://www.kbsec.com/go.able?linkcd=s060902030000&amp;seq=10009846&amp;idt=20260514&amp;clsfcd=1&amp;gubun=1", "링크")</f>
        <v/>
      </c>
      <c r="E4" s="4" t="inlineStr">
        <is>
          <t>AI투자 자율주행 RACE!</t>
        </is>
      </c>
      <c r="F4" s="4" t="inlineStr"/>
      <c r="G4" s="2" t="inlineStr">
        <is>
          <t>2026/05/15</t>
        </is>
      </c>
      <c r="H4" s="2" t="inlineStr">
        <is>
          <t>2026/06/30</t>
        </is>
      </c>
    </row>
    <row r="5">
      <c r="A5" s="2" t="inlineStr">
        <is>
          <t>KB증권</t>
        </is>
      </c>
      <c r="B5" s="2" t="n">
        <v>4</v>
      </c>
      <c r="C5" s="2" t="inlineStr">
        <is>
          <t>국내주식</t>
        </is>
      </c>
      <c r="D5" s="3">
        <f>HYPERLINK("https://www.kbsec.com/go.able?linkcd=s060902030000&amp;seq=10009816&amp;idt=20260507&amp;clsfcd=1&amp;gubun=1", "링크")</f>
        <v/>
      </c>
      <c r="E5" s="4" t="inlineStr">
        <is>
          <t>영유스 전용클럽 영앤제로 매일, 대장주 0원에 득템 기회!</t>
        </is>
      </c>
      <c r="F5" s="4" t="inlineStr"/>
      <c r="G5" s="2" t="inlineStr">
        <is>
          <t>2026/05/11</t>
        </is>
      </c>
      <c r="H5" s="2" t="inlineStr">
        <is>
          <t>2026/12/31</t>
        </is>
      </c>
    </row>
    <row r="6">
      <c r="A6" s="2" t="inlineStr">
        <is>
          <t>KB증권</t>
        </is>
      </c>
      <c r="B6" s="2" t="n">
        <v>5</v>
      </c>
      <c r="C6" s="2" t="inlineStr">
        <is>
          <t>국내주식</t>
        </is>
      </c>
      <c r="D6" s="3">
        <f>HYPERLINK("https://www.kbsec.com/go.able?linkcd=s060902030000&amp;seq=10009807&amp;idt=20260506&amp;clsfcd=1&amp;gubun=1", "링크")</f>
        <v/>
      </c>
      <c r="E6" s="4" t="inlineStr">
        <is>
          <t>영(Young)하니까 수수료는 0원!</t>
        </is>
      </c>
      <c r="F6" s="4" t="inlineStr"/>
      <c r="G6" s="2" t="inlineStr">
        <is>
          <t>2026/05/11</t>
        </is>
      </c>
      <c r="H6" s="2" t="inlineStr">
        <is>
          <t>2026/12/30</t>
        </is>
      </c>
    </row>
    <row r="7">
      <c r="A7" s="2" t="inlineStr">
        <is>
          <t>KB증권</t>
        </is>
      </c>
      <c r="B7" s="2" t="n">
        <v>6</v>
      </c>
      <c r="C7" s="2" t="inlineStr">
        <is>
          <t>국내주식</t>
        </is>
      </c>
      <c r="D7" s="3">
        <f>HYPERLINK("https://www.kbsec.com/go.able?linkcd=s060902030000&amp;seq=10009770&amp;idt=20260424&amp;clsfcd=1&amp;gubun=1", "링크")</f>
        <v/>
      </c>
      <c r="E7" s="4" t="inlineStr">
        <is>
          <t>KB증권 실전투자대회 투자마스터즈 2026</t>
        </is>
      </c>
      <c r="F7" s="4" t="inlineStr"/>
      <c r="G7" s="2" t="inlineStr">
        <is>
          <t>2026/04/24</t>
        </is>
      </c>
      <c r="H7" s="2" t="inlineStr">
        <is>
          <t>2026/06/19</t>
        </is>
      </c>
    </row>
    <row r="8">
      <c r="A8" s="2" t="inlineStr">
        <is>
          <t>KB증권</t>
        </is>
      </c>
      <c r="B8" s="2" t="n">
        <v>7</v>
      </c>
      <c r="C8" s="2" t="inlineStr">
        <is>
          <t>국내주식</t>
        </is>
      </c>
      <c r="D8" s="3">
        <f>HYPERLINK("https://www.kbsec.com/go.able?linkcd=s060902030000&amp;seq=10009737&amp;idt=20260416&amp;clsfcd=1&amp;gubun=1", "링크")</f>
        <v/>
      </c>
      <c r="E8" s="4" t="inlineStr">
        <is>
          <t>국내주식 옮기면 쿠폰이 와르르 시즌2</t>
        </is>
      </c>
      <c r="F8" s="4" t="inlineStr"/>
      <c r="G8" s="2" t="inlineStr">
        <is>
          <t>2026/04/20</t>
        </is>
      </c>
      <c r="H8" s="2" t="inlineStr">
        <is>
          <t>2026/06/30</t>
        </is>
      </c>
    </row>
    <row r="9">
      <c r="A9" s="2" t="inlineStr">
        <is>
          <t>KB증권</t>
        </is>
      </c>
      <c r="B9" s="2" t="n">
        <v>8</v>
      </c>
      <c r="C9" s="2" t="inlineStr">
        <is>
          <t>연금/ISA</t>
        </is>
      </c>
      <c r="D9" s="3">
        <f>HYPERLINK("https://www.kbsec.com/go.able?linkcd=s060902030000&amp;seq=10009679&amp;idt=20260331&amp;clsfcd=4&amp;gubun=1", "링크")</f>
        <v/>
      </c>
      <c r="E9" s="4" t="inlineStr">
        <is>
          <t>연금, TDF &amp; ETF 굴려볼까? 시즌 2</t>
        </is>
      </c>
      <c r="F9" s="4" t="inlineStr"/>
      <c r="G9" s="2" t="inlineStr">
        <is>
          <t>2026/04/01</t>
        </is>
      </c>
      <c r="H9" s="2" t="inlineStr">
        <is>
          <t>2026/06/30</t>
        </is>
      </c>
    </row>
    <row r="10">
      <c r="A10" s="2" t="inlineStr">
        <is>
          <t>KB증권</t>
        </is>
      </c>
      <c r="B10" s="2" t="n">
        <v>9</v>
      </c>
      <c r="C10" s="2" t="inlineStr">
        <is>
          <t>연금/ISA</t>
        </is>
      </c>
      <c r="D10" s="3">
        <f>HYPERLINK("https://www.kbsec.com/go.able?linkcd=s060902030000&amp;seq=10009676&amp;idt=20260331&amp;clsfcd=4&amp;gubun=1", "링크")</f>
        <v/>
      </c>
      <c r="E10" s="4" t="inlineStr">
        <is>
          <t>퇴직연금 DC, 첫 만남 이벤트</t>
        </is>
      </c>
      <c r="F10" s="4" t="inlineStr"/>
      <c r="G10" s="2" t="inlineStr">
        <is>
          <t>2026/04/01</t>
        </is>
      </c>
      <c r="H10" s="2" t="inlineStr">
        <is>
          <t>2026/12/31</t>
        </is>
      </c>
    </row>
    <row r="11">
      <c r="A11" s="2" t="inlineStr">
        <is>
          <t>KB증권</t>
        </is>
      </c>
      <c r="B11" s="2" t="n">
        <v>10</v>
      </c>
      <c r="C11" s="2" t="inlineStr">
        <is>
          <t>연금/ISA</t>
        </is>
      </c>
      <c r="D11" s="3">
        <f>HYPERLINK("https://www.kbsec.com/go.able?linkcd=s060902030000&amp;seq=10009671&amp;idt=20260330&amp;clsfcd=4&amp;gubun=1", "링크")</f>
        <v/>
      </c>
      <c r="E11" s="4" t="inlineStr">
        <is>
          <t>2026 시즌2 연금저축 순입금(이전) 이벤트</t>
        </is>
      </c>
      <c r="F11" s="4" t="inlineStr"/>
      <c r="G11" s="2" t="inlineStr">
        <is>
          <t>2026/04/01</t>
        </is>
      </c>
      <c r="H11" s="2" t="inlineStr">
        <is>
          <t>2026/06/30</t>
        </is>
      </c>
    </row>
    <row r="12">
      <c r="A12" s="2" t="inlineStr">
        <is>
          <t>KB증권</t>
        </is>
      </c>
      <c r="B12" s="2" t="n">
        <v>11</v>
      </c>
      <c r="C12" s="2" t="inlineStr">
        <is>
          <t>연금/ISA</t>
        </is>
      </c>
      <c r="D12" s="3">
        <f>HYPERLINK("https://www.kbsec.com/go.able?linkcd=s060902030000&amp;seq=10009668&amp;idt=20260330&amp;clsfcd=4&amp;gubun=1", "링크")</f>
        <v/>
      </c>
      <c r="E12" s="4" t="inlineStr">
        <is>
          <t>2026 시즌2 IRP 순입금(이전) 이벤트</t>
        </is>
      </c>
      <c r="F12" s="4" t="inlineStr"/>
      <c r="G12" s="2" t="inlineStr">
        <is>
          <t>2026/04/01</t>
        </is>
      </c>
      <c r="H12" s="2" t="inlineStr">
        <is>
          <t>2026/06/30</t>
        </is>
      </c>
    </row>
    <row r="13">
      <c r="A13" s="2" t="inlineStr">
        <is>
          <t>KB증권</t>
        </is>
      </c>
      <c r="B13" s="2" t="n">
        <v>12</v>
      </c>
      <c r="C13" s="2" t="inlineStr">
        <is>
          <t>국내주식</t>
        </is>
      </c>
      <c r="D13" s="3">
        <f>HYPERLINK("https://www.kbsec.com/go.able?linkcd=s060902030000&amp;seq=10009450&amp;idt=20260130&amp;clsfcd=1&amp;gubun=1", "링크")</f>
        <v/>
      </c>
      <c r="E13" s="4" t="inlineStr">
        <is>
          <t>국내 주식선물, 1계약 부터 시작하세요</t>
        </is>
      </c>
      <c r="F13" s="4" t="inlineStr"/>
      <c r="G13" s="2" t="inlineStr">
        <is>
          <t>2026/02/02</t>
        </is>
      </c>
      <c r="H13" s="2" t="inlineStr">
        <is>
          <t>2026/06/26</t>
        </is>
      </c>
    </row>
    <row r="14">
      <c r="A14" s="2" t="inlineStr">
        <is>
          <t>KB증권</t>
        </is>
      </c>
      <c r="B14" s="2" t="n">
        <v>13</v>
      </c>
      <c r="C14" s="2" t="inlineStr">
        <is>
          <t>연금/ISA</t>
        </is>
      </c>
      <c r="D14" s="3">
        <f>HYPERLINK("https://www.kbsec.com/go.able?linkcd=s060902030000&amp;seq=10009423&amp;idt=20260121&amp;clsfcd=4&amp;gubun=1", "링크")</f>
        <v/>
      </c>
      <c r="E14" s="4" t="inlineStr">
        <is>
          <t>비대면 중개형ISA 수수료 이벤트</t>
        </is>
      </c>
      <c r="F14" s="4" t="inlineStr"/>
      <c r="G14" s="2" t="inlineStr">
        <is>
          <t>2026/01/01</t>
        </is>
      </c>
      <c r="H14" s="2" t="inlineStr">
        <is>
          <t>2026/12/31</t>
        </is>
      </c>
    </row>
    <row r="15">
      <c r="A15" s="2" t="inlineStr">
        <is>
          <t>KB증권</t>
        </is>
      </c>
      <c r="B15" s="2" t="n">
        <v>14</v>
      </c>
      <c r="C15" s="2" t="inlineStr">
        <is>
          <t>연금/ISA</t>
        </is>
      </c>
      <c r="D15" s="3">
        <f>HYPERLINK("https://www.kbsec.com/go.able?linkcd=s060902030000&amp;seq=10009370&amp;idt=20251231&amp;clsfcd=4&amp;gubun=1", "링크")</f>
        <v/>
      </c>
      <c r="E15" s="4" t="inlineStr">
        <is>
          <t>2026년 연금저축 온라인 ETF 매매수수료 혜택 이벤트</t>
        </is>
      </c>
      <c r="F15" s="4" t="inlineStr"/>
      <c r="G15" s="2" t="inlineStr">
        <is>
          <t>2026/01/01</t>
        </is>
      </c>
      <c r="H15" s="2" t="inlineStr">
        <is>
          <t>2026/12/31</t>
        </is>
      </c>
    </row>
    <row r="16">
      <c r="A16" s="2" t="inlineStr">
        <is>
          <t>KB증권</t>
        </is>
      </c>
      <c r="B16" s="2" t="n">
        <v>15</v>
      </c>
      <c r="C16" s="2" t="inlineStr">
        <is>
          <t>연금/ISA</t>
        </is>
      </c>
      <c r="D16" s="3">
        <f>HYPERLINK("https://www.kbsec.com/go.able?linkcd=s060902030000&amp;seq=10007688&amp;idt=20241025&amp;clsfcd=4&amp;gubun=1", "링크")</f>
        <v/>
      </c>
      <c r="E16" s="4" t="inlineStr">
        <is>
          <t>IRP 무료 수수료 혜택 이벤트</t>
        </is>
      </c>
      <c r="F16" s="4" t="inlineStr"/>
      <c r="G16" s="2" t="inlineStr">
        <is>
          <t>2024/10/28</t>
        </is>
      </c>
      <c r="H16" s="2" t="inlineStr">
        <is>
          <t>2026/08/20</t>
        </is>
      </c>
    </row>
    <row r="17">
      <c r="A17" s="2" t="inlineStr">
        <is>
          <t>KB증권</t>
        </is>
      </c>
      <c r="B17" s="2" t="n">
        <v>16</v>
      </c>
      <c r="C17" s="2" t="inlineStr">
        <is>
          <t>국내주식</t>
        </is>
      </c>
      <c r="D17" s="3">
        <f>HYPERLINK("https://www.kbsec.com/go.able?linkcd=s060902030000&amp;seq=10006781&amp;idt=20240405&amp;clsfcd=1&amp;gubun=1", "링크")</f>
        <v/>
      </c>
      <c r="E17" s="4" t="inlineStr">
        <is>
          <t>럭키박스 이벤트 시즌2</t>
        </is>
      </c>
      <c r="F17" s="4" t="inlineStr"/>
      <c r="G17" s="2" t="inlineStr">
        <is>
          <t>2025/01/01</t>
        </is>
      </c>
      <c r="H17" s="2" t="inlineStr">
        <is>
          <t>2026/10/22</t>
        </is>
      </c>
    </row>
    <row r="18">
      <c r="A18" s="2" t="inlineStr">
        <is>
          <t>KB증권</t>
        </is>
      </c>
      <c r="B18" s="2" t="n">
        <v>17</v>
      </c>
      <c r="C18" s="2" t="inlineStr">
        <is>
          <t>은행연계/비대면</t>
        </is>
      </c>
      <c r="D18" s="3">
        <f>HYPERLINK("https://www.kbsec.com/go.able?linkcd=s060902030000&amp;seq=10003885&amp;idt=20220223&amp;clsfcd=6&amp;gubun=1", "링크")</f>
        <v/>
      </c>
      <c r="E18" s="4" t="inlineStr">
        <is>
          <t>온라인 국내주식위탁 수수료 5년 혜택</t>
        </is>
      </c>
      <c r="F18" s="4" t="inlineStr"/>
      <c r="G18" s="2" t="inlineStr">
        <is>
          <t>2026/06/01</t>
        </is>
      </c>
      <c r="H18" s="2" t="inlineStr">
        <is>
          <t>2027/05/31</t>
        </is>
      </c>
    </row>
    <row r="19">
      <c r="A19" s="2" t="inlineStr">
        <is>
          <t>KB증권</t>
        </is>
      </c>
      <c r="B19" s="2" t="n">
        <v>18</v>
      </c>
      <c r="C19" s="2" t="inlineStr">
        <is>
          <t>은행연계/비대면</t>
        </is>
      </c>
      <c r="D19" s="3">
        <f>HYPERLINK("https://www.kbsec.com/go.able?linkcd=s060902030000&amp;seq=10002893&amp;idt=20210527&amp;clsfcd=6&amp;gubun=1", "링크")</f>
        <v/>
      </c>
      <c r="E19" s="4" t="inlineStr">
        <is>
          <t>비대면 계좌 온라인 국내주식위탁 수수료 평생 혜택 이벤트</t>
        </is>
      </c>
      <c r="F19" s="4" t="inlineStr"/>
      <c r="G19" s="2" t="inlineStr">
        <is>
          <t>2026/06/01</t>
        </is>
      </c>
      <c r="H19" s="2" t="inlineStr">
        <is>
          <t>2027/05/31</t>
        </is>
      </c>
    </row>
    <row r="20">
      <c r="A20" s="2" t="inlineStr">
        <is>
          <t>KB증권</t>
        </is>
      </c>
      <c r="B20" s="2" t="n">
        <v>19</v>
      </c>
      <c r="C20" s="2" t="inlineStr">
        <is>
          <t xml:space="preserve">ETF </t>
        </is>
      </c>
      <c r="D20" s="3">
        <f>HYPERLINK("https://www.kbsec.com/go.able?linkcd=s060902030000&amp;seq=10009833&amp;idt=20260511&amp;clsfcd=7&amp;gubun=1", "링크")</f>
        <v/>
      </c>
      <c r="E20" s="4" t="inlineStr">
        <is>
          <t>RISE 현대차고정피지컬AI ETF 거래 이벤트</t>
        </is>
      </c>
      <c r="F20" s="4" t="inlineStr"/>
      <c r="G20" s="2" t="inlineStr">
        <is>
          <t>2026/05/11</t>
        </is>
      </c>
      <c r="H20" s="2" t="inlineStr">
        <is>
          <t>2026/06/12</t>
        </is>
      </c>
    </row>
    <row r="21">
      <c r="A21" s="2" t="inlineStr">
        <is>
          <t>NH투자증권</t>
        </is>
      </c>
      <c r="B21" s="2" t="n">
        <v>1</v>
      </c>
      <c r="C21" s="2" t="inlineStr"/>
      <c r="D21" s="3" t="inlineStr"/>
      <c r="E21" s="4" t="inlineStr">
        <is>
          <t>N2, 국내주식 리스타트(Restart) 이벤트</t>
        </is>
      </c>
      <c r="F21" s="4" t="inlineStr">
        <is>
          <t>N2로 국내주식 옮겨서 거래하고, 투자지원금 최대 110만원 혜택 받자</t>
        </is>
      </c>
      <c r="G21" s="2" t="inlineStr">
        <is>
          <t>2026/05/27</t>
        </is>
      </c>
      <c r="H21" s="2" t="inlineStr">
        <is>
          <t>2026/06/30</t>
        </is>
      </c>
    </row>
    <row r="22">
      <c r="A22" s="2" t="inlineStr">
        <is>
          <t>NH투자증권</t>
        </is>
      </c>
      <c r="B22" s="2" t="n">
        <v>2</v>
      </c>
      <c r="C22" s="2" t="inlineStr"/>
      <c r="D22" s="3" t="inlineStr"/>
      <c r="E22" s="4" t="inlineStr">
        <is>
          <t>26년 IRP 순입금/이전 2차 이벤트</t>
        </is>
      </c>
      <c r="F22" s="4" t="inlineStr">
        <is>
          <t>퇴직연금 IRP 고객 순입금/이전 고객 혜택</t>
        </is>
      </c>
      <c r="G22" s="2" t="inlineStr">
        <is>
          <t>2026/05/01</t>
        </is>
      </c>
      <c r="H22" s="2" t="inlineStr">
        <is>
          <t>2026/08/31</t>
        </is>
      </c>
    </row>
    <row r="23">
      <c r="A23" s="2" t="inlineStr">
        <is>
          <t>NH투자증권</t>
        </is>
      </c>
      <c r="B23" s="2" t="n">
        <v>3</v>
      </c>
      <c r="C23" s="2" t="inlineStr"/>
      <c r="D23" s="3" t="inlineStr"/>
      <c r="E23" s="4" t="inlineStr">
        <is>
          <t>퇴직연금 자동운용 포트폴리오로 쉽게 투자하자 이벤트</t>
        </is>
      </c>
      <c r="F23" s="4" t="inlineStr">
        <is>
          <t>퇴직연금 디폴트옵션 최초 지정 / 상품 매수 이벤트</t>
        </is>
      </c>
      <c r="G23" s="2" t="inlineStr">
        <is>
          <t>2026/05/01</t>
        </is>
      </c>
      <c r="H23" s="2" t="inlineStr">
        <is>
          <t>2026/08/31</t>
        </is>
      </c>
    </row>
    <row r="24">
      <c r="A24" s="2" t="inlineStr">
        <is>
          <t>NH투자증권</t>
        </is>
      </c>
      <c r="B24" s="2" t="n">
        <v>4</v>
      </c>
      <c r="C24" s="2" t="inlineStr"/>
      <c r="D24" s="3" t="inlineStr"/>
      <c r="E24" s="4" t="inlineStr">
        <is>
          <t>대여풀 등록하고 주식 이자 받자!</t>
        </is>
      </c>
      <c r="F24" s="4" t="inlineStr">
        <is>
          <t>대여풀 등록하고 주식 이자 받자! 이벤트 신청 시 최대 300만원 혜택</t>
        </is>
      </c>
      <c r="G24" s="2" t="inlineStr">
        <is>
          <t>2026/04/30</t>
        </is>
      </c>
      <c r="H24" s="2" t="inlineStr">
        <is>
          <t>2026/07/31</t>
        </is>
      </c>
    </row>
    <row r="25">
      <c r="A25" s="2" t="inlineStr">
        <is>
          <t>NH투자증권</t>
        </is>
      </c>
      <c r="B25" s="2" t="n">
        <v>5</v>
      </c>
      <c r="C25" s="2" t="inlineStr"/>
      <c r="D25" s="3" t="inlineStr"/>
      <c r="E25" s="4" t="inlineStr">
        <is>
          <t>DC신규가입이벤트 시즌2</t>
        </is>
      </c>
      <c r="F25" s="4" t="inlineStr">
        <is>
          <t>[이제 연금도 투자다] DC신규가입이벤트 시즌2</t>
        </is>
      </c>
      <c r="G25" s="2" t="inlineStr">
        <is>
          <t>2026/04/01</t>
        </is>
      </c>
      <c r="H25" s="2" t="inlineStr">
        <is>
          <t>2026/06/30</t>
        </is>
      </c>
    </row>
    <row r="26">
      <c r="A26" s="2" t="inlineStr">
        <is>
          <t>NH투자증권</t>
        </is>
      </c>
      <c r="B26" s="2" t="n">
        <v>6</v>
      </c>
      <c r="C26" s="2" t="inlineStr"/>
      <c r="D26" s="3" t="inlineStr"/>
      <c r="E26" s="4" t="inlineStr">
        <is>
          <t>연금저축 TDF 셋업 이벤트</t>
        </is>
      </c>
      <c r="F26" s="4" t="inlineStr">
        <is>
          <t>연금저축펀드 계좌로 TDF 펀드 가입시 혜택 제공(일부 운용사한)</t>
        </is>
      </c>
      <c r="G26" s="2" t="inlineStr">
        <is>
          <t>2026/03/16</t>
        </is>
      </c>
      <c r="H26" s="2" t="inlineStr">
        <is>
          <t>2026/07/31</t>
        </is>
      </c>
    </row>
    <row r="27">
      <c r="A27" s="2" t="inlineStr">
        <is>
          <t>NH투자증권</t>
        </is>
      </c>
      <c r="B27" s="2" t="n">
        <v>7</v>
      </c>
      <c r="C27" s="2" t="inlineStr"/>
      <c r="D27" s="3" t="inlineStr"/>
      <c r="E27" s="4" t="inlineStr">
        <is>
          <t>NH투자증권 연금계좌3종 개설하기</t>
        </is>
      </c>
      <c r="F27" s="4" t="inlineStr">
        <is>
          <t>NH투자증권 연금계좌 개설 및 장점 안내</t>
        </is>
      </c>
      <c r="G27" s="2" t="inlineStr">
        <is>
          <t>2026/03/12</t>
        </is>
      </c>
      <c r="H27" s="2" t="inlineStr">
        <is>
          <t>2027/02/19</t>
        </is>
      </c>
    </row>
    <row r="28">
      <c r="A28" s="2" t="inlineStr">
        <is>
          <t>NH투자증권</t>
        </is>
      </c>
      <c r="B28" s="2" t="n">
        <v>8</v>
      </c>
      <c r="C28" s="2" t="inlineStr"/>
      <c r="D28" s="3" t="inlineStr"/>
      <c r="E28" s="4" t="inlineStr">
        <is>
          <t>퇴직연금 ELS 가입 이벤트</t>
        </is>
      </c>
      <c r="F28" s="4" t="inlineStr">
        <is>
          <t>ELS 가입하고 이벤트 혜택 받아보세요</t>
        </is>
      </c>
      <c r="G28" s="2" t="inlineStr">
        <is>
          <t>2026/03/03</t>
        </is>
      </c>
      <c r="H28" s="2" t="inlineStr">
        <is>
          <t>2026/06/30</t>
        </is>
      </c>
    </row>
    <row r="29">
      <c r="A29" s="2" t="inlineStr">
        <is>
          <t>미래에셋증권</t>
        </is>
      </c>
      <c r="B29" s="2" t="n">
        <v>1</v>
      </c>
      <c r="C29" s="2" t="inlineStr"/>
      <c r="D29" s="3">
        <f>HYPERLINK("https://securities.miraeasset.com/hki/hki7000/v05.do?cs_ecis_id=202606004&amp;strEnd=S", "링크")</f>
        <v/>
      </c>
      <c r="E29" s="5" t="inlineStr">
        <is>
          <t>이자에 혜택을 더하다 이제는 채권으로 Check In!</t>
        </is>
      </c>
      <c r="F29" s="4" t="inlineStr"/>
      <c r="G29" s="2" t="inlineStr">
        <is>
          <t>2026/06/08</t>
        </is>
      </c>
      <c r="H29" s="2" t="inlineStr">
        <is>
          <t>2026/08/25</t>
        </is>
      </c>
    </row>
    <row r="30">
      <c r="A30" s="2" t="inlineStr">
        <is>
          <t>미래에셋증권</t>
        </is>
      </c>
      <c r="B30" s="2" t="n">
        <v>2</v>
      </c>
      <c r="C30" s="2" t="inlineStr"/>
      <c r="D30" s="3">
        <f>HYPERLINK("https://securities.miraeasset.com/hki/hki7000/v05.do?cs_ecis_id=202605014&amp;strEnd=S", "링크")</f>
        <v/>
      </c>
      <c r="E30" s="4" t="inlineStr">
        <is>
          <t>K-Wave, 국내주식형펀드로 넓어지는 투자 선택</t>
        </is>
      </c>
      <c r="F30" s="4" t="inlineStr"/>
      <c r="G30" s="2" t="inlineStr">
        <is>
          <t>2026/06/08</t>
        </is>
      </c>
      <c r="H30" s="2" t="inlineStr">
        <is>
          <t>2026/07/31</t>
        </is>
      </c>
    </row>
    <row r="31">
      <c r="A31" s="2" t="inlineStr">
        <is>
          <t>미래에셋증권</t>
        </is>
      </c>
      <c r="B31" s="2" t="n">
        <v>3</v>
      </c>
      <c r="C31" s="2" t="inlineStr"/>
      <c r="D31" s="3">
        <f>HYPERLINK("https://securities.miraeasset.com/hki/hki7000/v05.do?cs_ecis_id=202605012&amp;strEnd=S", "링크")</f>
        <v/>
      </c>
      <c r="E31" s="4" t="inlineStr">
        <is>
          <t>중개형 ISA에 ETF 담고 혜택도 담고!</t>
        </is>
      </c>
      <c r="F31" s="4" t="inlineStr"/>
      <c r="G31" s="2" t="inlineStr">
        <is>
          <t>2026/06/08</t>
        </is>
      </c>
      <c r="H31" s="2" t="inlineStr">
        <is>
          <t>2026/07/31</t>
        </is>
      </c>
    </row>
    <row r="32">
      <c r="A32" s="2" t="inlineStr">
        <is>
          <t>미래에셋증권</t>
        </is>
      </c>
      <c r="B32" s="2" t="n">
        <v>4</v>
      </c>
      <c r="C32" s="2" t="inlineStr"/>
      <c r="D32" s="3">
        <f>HYPERLINK("https://securities.miraeasset.com/hki/hki7000/v05.do?cs_ecis_id=202605011&amp;strEnd=S", "링크")</f>
        <v/>
      </c>
      <c r="E32" s="4" t="inlineStr">
        <is>
          <t>Shall We ISA? 미래에셋증권과 함께 하실래요?</t>
        </is>
      </c>
      <c r="F32" s="4" t="inlineStr"/>
      <c r="G32" s="2" t="inlineStr">
        <is>
          <t>2026/06/01</t>
        </is>
      </c>
      <c r="H32" s="2" t="inlineStr">
        <is>
          <t>2026/07/31</t>
        </is>
      </c>
    </row>
    <row r="33">
      <c r="A33" s="2" t="inlineStr">
        <is>
          <t>미래에셋증권</t>
        </is>
      </c>
      <c r="B33" s="2" t="n">
        <v>5</v>
      </c>
      <c r="C33" s="2" t="inlineStr"/>
      <c r="D33" s="3">
        <f>HYPERLINK("https://securities.miraeasset.com/hki/hki7000/v05.do?cs_ecis_id=202605006&amp;strEnd=S", "링크")</f>
        <v/>
      </c>
      <c r="E33" s="4" t="inlineStr">
        <is>
          <t>국민성장펀드 첫 걸음을 응원합니다</t>
        </is>
      </c>
      <c r="F33" s="4" t="inlineStr"/>
      <c r="G33" s="2" t="inlineStr">
        <is>
          <t>2026/05/22</t>
        </is>
      </c>
      <c r="H33" s="2" t="inlineStr">
        <is>
          <t>2026/06/12</t>
        </is>
      </c>
    </row>
    <row r="34">
      <c r="A34" s="2" t="inlineStr">
        <is>
          <t>미래에셋증권</t>
        </is>
      </c>
      <c r="B34" s="2" t="n">
        <v>6</v>
      </c>
      <c r="C34" s="2" t="inlineStr"/>
      <c r="D34" s="3">
        <f>HYPERLINK("https://securities.miraeasset.com/hki/hki7000/v05.do?cs_ecis_id=202603008&amp;strEnd=S", "링크")</f>
        <v/>
      </c>
      <c r="E34" s="4" t="inlineStr">
        <is>
          <t>「투자하는 연금」2026년 IRP 입금 이벤트</t>
        </is>
      </c>
      <c r="F34" s="4" t="inlineStr"/>
      <c r="G34" s="2" t="inlineStr">
        <is>
          <t>2026/04/01</t>
        </is>
      </c>
      <c r="H34" s="2" t="inlineStr">
        <is>
          <t>2026/06/30</t>
        </is>
      </c>
    </row>
    <row r="35">
      <c r="A35" s="2" t="inlineStr">
        <is>
          <t>미래에셋증권</t>
        </is>
      </c>
      <c r="B35" s="2" t="n">
        <v>7</v>
      </c>
      <c r="C35" s="2" t="inlineStr"/>
      <c r="D35" s="3">
        <f>HYPERLINK("https://securities.miraeasset.com/hki/hki7000/v05.do?cs_ecis_id=202603006&amp;strEnd=S", "링크")</f>
        <v/>
      </c>
      <c r="E35" s="4" t="inlineStr">
        <is>
          <t>「투자하는 연금」2026년 개인연금 입금 이벤트</t>
        </is>
      </c>
      <c r="F35" s="4" t="inlineStr"/>
      <c r="G35" s="2" t="inlineStr">
        <is>
          <t>2026/04/01</t>
        </is>
      </c>
      <c r="H35" s="2" t="inlineStr">
        <is>
          <t>2026/06/30</t>
        </is>
      </c>
    </row>
    <row r="36">
      <c r="A36" s="2" t="inlineStr">
        <is>
          <t>미래에셋증권</t>
        </is>
      </c>
      <c r="B36" s="2" t="n">
        <v>8</v>
      </c>
      <c r="C36" s="2" t="inlineStr"/>
      <c r="D36" s="3">
        <f>HYPERLINK("https://securities.miraeasset.com/hki/hki7000/v05.do?cs_ecis_id=202603007&amp;strEnd=S", "링크")</f>
        <v/>
      </c>
      <c r="E36" s="4" t="inlineStr">
        <is>
          <t>「투자하는 연금」2026년 퇴직연금 DC 이벤트</t>
        </is>
      </c>
      <c r="F36" s="4" t="inlineStr"/>
      <c r="G36" s="2" t="inlineStr">
        <is>
          <t>2026/04/01</t>
        </is>
      </c>
      <c r="H36" s="2" t="inlineStr">
        <is>
          <t>2026/06/30</t>
        </is>
      </c>
    </row>
    <row r="37">
      <c r="A37" s="2" t="inlineStr">
        <is>
          <t>미래에셋증권</t>
        </is>
      </c>
      <c r="B37" s="2" t="n">
        <v>9</v>
      </c>
      <c r="C37" s="2" t="inlineStr"/>
      <c r="D37" s="3">
        <f>HYPERLINK("https://securities.miraeasset.com/hki/hki7000/v05.do?cs_ecis_id=202603005&amp;strEnd=S", "링크")</f>
        <v/>
      </c>
      <c r="E37" s="4" t="inlineStr">
        <is>
          <t>우리 아이 부자 만들기, 미래로 떠나는 90일 투자 여행 이벤트</t>
        </is>
      </c>
      <c r="F37" s="4" t="inlineStr"/>
      <c r="G37" s="2" t="inlineStr">
        <is>
          <t>2026/03/30</t>
        </is>
      </c>
      <c r="H37" s="2" t="inlineStr">
        <is>
          <t>2026/07/31</t>
        </is>
      </c>
    </row>
    <row r="38">
      <c r="A38" s="2" t="inlineStr">
        <is>
          <t>미래에셋증권</t>
        </is>
      </c>
      <c r="B38" s="2" t="n">
        <v>10</v>
      </c>
      <c r="C38" s="2" t="inlineStr"/>
      <c r="D38" s="3">
        <f>HYPERLINK("https://securities.miraeasset.com/hki/hki7000/v05.do?cs_ecis_id=202512004&amp;strEnd=S", "링크")</f>
        <v/>
      </c>
      <c r="E38" s="4" t="inlineStr">
        <is>
          <t>다이렉트 신규 계좌개설 우대 수수료 이벤트(2월~6월)</t>
        </is>
      </c>
      <c r="F38" s="4" t="inlineStr"/>
      <c r="G38" s="2" t="inlineStr">
        <is>
          <t>2026/02/02</t>
        </is>
      </c>
      <c r="H38" s="2" t="inlineStr">
        <is>
          <t>2026/09/28</t>
        </is>
      </c>
    </row>
    <row r="39">
      <c r="A39" s="2" t="inlineStr">
        <is>
          <t>미래에셋증권</t>
        </is>
      </c>
      <c r="B39" s="2" t="n">
        <v>11</v>
      </c>
      <c r="C39" s="2" t="inlineStr"/>
      <c r="D39" s="3">
        <f>HYPERLINK("https://securities.miraeasset.com/hki/hki7000/v05.do?cs_ecis_id=202512005&amp;strEnd=S", "링크")</f>
        <v/>
      </c>
      <c r="E39" s="4" t="inlineStr">
        <is>
          <t>다이렉트 첫 고객 Welcome 이벤트</t>
        </is>
      </c>
      <c r="F39" s="4" t="inlineStr"/>
      <c r="G39" s="2" t="inlineStr">
        <is>
          <t>2026/02/02</t>
        </is>
      </c>
      <c r="H39" s="2" t="inlineStr">
        <is>
          <t>2026/06/30</t>
        </is>
      </c>
    </row>
    <row r="40">
      <c r="A40" s="2" t="inlineStr">
        <is>
          <t>미래에셋증권</t>
        </is>
      </c>
      <c r="B40" s="2" t="n">
        <v>12</v>
      </c>
      <c r="C40" s="2" t="inlineStr"/>
      <c r="D40" s="3">
        <f>HYPERLINK("https://securities.miraeasset.com/hki/hki7000/v05.do?cs_ecis_id=202512019&amp;strEnd=S", "링크")</f>
        <v/>
      </c>
      <c r="E40" s="4" t="inlineStr">
        <is>
          <t>「투자하는 연금」연말정산 준비 프로젝트</t>
        </is>
      </c>
      <c r="F40" s="4" t="inlineStr"/>
      <c r="G40" s="2" t="inlineStr">
        <is>
          <t>2026/01/01</t>
        </is>
      </c>
      <c r="H40" s="2" t="inlineStr">
        <is>
          <t>2026/06/30</t>
        </is>
      </c>
    </row>
    <row r="41">
      <c r="A41" s="2" t="inlineStr">
        <is>
          <t>미래에셋증권</t>
        </is>
      </c>
      <c r="B41" s="2" t="n">
        <v>13</v>
      </c>
      <c r="C41" s="2" t="inlineStr"/>
      <c r="D41" s="3">
        <f>HYPERLINK("https://securities.miraeasset.com/hki/hki7000/v05.do?cs_ecis_id=202601005&amp;strEnd=S", "링크")</f>
        <v/>
      </c>
      <c r="E41" s="4" t="inlineStr">
        <is>
          <t>다이렉트 중개형ISA 온라인 매매수수료 평생우대혜택 안내</t>
        </is>
      </c>
      <c r="F41" s="4" t="inlineStr"/>
      <c r="G41" s="2" t="inlineStr">
        <is>
          <t>2026/01/01</t>
        </is>
      </c>
      <c r="H41" s="2" t="inlineStr">
        <is>
          <t>2026/12/31</t>
        </is>
      </c>
    </row>
    <row r="42">
      <c r="A42" s="2" t="inlineStr">
        <is>
          <t>미래에셋증권</t>
        </is>
      </c>
      <c r="B42" s="2" t="n">
        <v>14</v>
      </c>
      <c r="C42" s="2" t="inlineStr"/>
      <c r="D42" s="3">
        <f>HYPERLINK("https://securities.miraeasset.com/hki/hki7000/v05.do?cs_ecis_id=202601004&amp;strEnd=S", "링크")</f>
        <v/>
      </c>
      <c r="E42" s="4" t="inlineStr">
        <is>
          <t>다이렉트 연금저축계좌 온라인 매매수수료 우대혜택 안내</t>
        </is>
      </c>
      <c r="F42" s="4" t="inlineStr"/>
      <c r="G42" s="2" t="inlineStr">
        <is>
          <t>2026/01/01</t>
        </is>
      </c>
      <c r="H42" s="2" t="inlineStr">
        <is>
          <t>2026/12/31</t>
        </is>
      </c>
    </row>
    <row r="43">
      <c r="A43" s="2" t="inlineStr">
        <is>
          <t>미래에셋증권</t>
        </is>
      </c>
      <c r="B43" s="2" t="n">
        <v>15</v>
      </c>
      <c r="C43" s="2" t="inlineStr"/>
      <c r="D43" s="3">
        <f>HYPERLINK("https://securities.miraeasset.com/hki/hki7000/v05.do?cs_ecis_id=202505016&amp;strEnd=S", "링크")</f>
        <v/>
      </c>
      <c r="E43" s="4" t="inlineStr">
        <is>
          <t>국내선물옵션 수수료할인특급 시즌2</t>
        </is>
      </c>
      <c r="F43" s="4" t="inlineStr"/>
      <c r="G43" s="2" t="inlineStr">
        <is>
          <t>2025/07/01</t>
        </is>
      </c>
      <c r="H43" s="2" t="inlineStr">
        <is>
          <t>2026/06/30</t>
        </is>
      </c>
    </row>
    <row r="44">
      <c r="A44" s="2" t="inlineStr">
        <is>
          <t>삼성증권</t>
        </is>
      </c>
      <c r="B44" s="2" t="n">
        <v>1</v>
      </c>
      <c r="C44" s="2" t="inlineStr"/>
      <c r="D44" s="3">
        <f>HYPERLINK("https://www.samsungpop.com/customer/guide.do?cmd=event_view&amp;menuNo=01010900&amp;MenuSeqNo=3830", "링크")</f>
        <v/>
      </c>
      <c r="E44" s="4" t="inlineStr">
        <is>
          <t>국내선물옵션 야夜심찬 KRX 야간거래 EVENT</t>
        </is>
      </c>
      <c r="F44" s="4" t="inlineStr">
        <is>
          <t>선물옵션 야간거래 하고 야심찬 리워드 받자!</t>
        </is>
      </c>
      <c r="G44" s="2" t="inlineStr">
        <is>
          <t>2026/06/01</t>
        </is>
      </c>
      <c r="H44" s="2" t="inlineStr">
        <is>
          <t>2026/07/31</t>
        </is>
      </c>
    </row>
    <row r="45">
      <c r="A45" s="2" t="inlineStr">
        <is>
          <t>삼성증권</t>
        </is>
      </c>
      <c r="B45" s="2" t="n">
        <v>2</v>
      </c>
      <c r="C45" s="2" t="inlineStr"/>
      <c r="D45" s="3">
        <f>HYPERLINK("https://www.samsungpop.com/customer/guide.do?cmd=event_view&amp;menuNo=01010900&amp;MenuSeqNo=3834", "링크")</f>
        <v/>
      </c>
      <c r="E45" s="4" t="inlineStr">
        <is>
          <t>모니모 앱 가입 이벤트</t>
        </is>
      </c>
      <c r="F45" s="4" t="inlineStr">
        <is>
          <t>모니모 가입하면 컴포즈커피 4잔+모니머니 1만원 100%증정</t>
        </is>
      </c>
      <c r="G45" s="2" t="inlineStr">
        <is>
          <t>2026/06/02</t>
        </is>
      </c>
      <c r="H45" s="2" t="inlineStr">
        <is>
          <t>2026/06/30</t>
        </is>
      </c>
    </row>
    <row r="46">
      <c r="A46" s="2" t="inlineStr">
        <is>
          <t>삼성증권</t>
        </is>
      </c>
      <c r="B46" s="2" t="n">
        <v>3</v>
      </c>
      <c r="C46" s="2" t="inlineStr"/>
      <c r="D46" s="3">
        <f>HYPERLINK("https://www.samsungpop.com/customer/guide.do?cmd=event_view&amp;menuNo=01010900&amp;MenuSeqNo=3817", "링크")</f>
        <v/>
      </c>
      <c r="E46" s="4" t="inlineStr">
        <is>
          <t>내일의 나를 위한 건강X절세 종합검진 이벤트(26.5~7월)</t>
        </is>
      </c>
      <c r="F46" s="4" t="inlineStr">
        <is>
          <t>건강X절세 종합검진 이벤트</t>
        </is>
      </c>
      <c r="G46" s="2" t="inlineStr">
        <is>
          <t>2026/05/01</t>
        </is>
      </c>
      <c r="H46" s="2" t="inlineStr">
        <is>
          <t>2026/07/31</t>
        </is>
      </c>
    </row>
    <row r="47">
      <c r="A47" s="2" t="inlineStr">
        <is>
          <t>삼성증권</t>
        </is>
      </c>
      <c r="B47" s="2" t="n">
        <v>4</v>
      </c>
      <c r="C47" s="2" t="inlineStr"/>
      <c r="D47" s="3">
        <f>HYPERLINK("https://www.samsungpop.com/customer/guide.do?cmd=event_view&amp;menuNo=01010900&amp;MenuSeqNo=3809", "링크")</f>
        <v/>
      </c>
      <c r="E47" s="4" t="inlineStr">
        <is>
          <t>중개형 ISA 파워-업! 이벤트(26.5~7월)</t>
        </is>
      </c>
      <c r="F47" s="4" t="inlineStr">
        <is>
          <t>2026년 5~7월 중개형ISA 이벤트 지금 확인하세요~!</t>
        </is>
      </c>
      <c r="G47" s="2" t="inlineStr">
        <is>
          <t>2026/05/01</t>
        </is>
      </c>
      <c r="H47" s="2" t="inlineStr">
        <is>
          <t>2026/07/31</t>
        </is>
      </c>
    </row>
    <row r="48">
      <c r="A48" s="2" t="inlineStr">
        <is>
          <t>삼성증권</t>
        </is>
      </c>
      <c r="B48" s="2" t="n">
        <v>5</v>
      </c>
      <c r="C48" s="2" t="inlineStr"/>
      <c r="D48" s="3">
        <f>HYPERLINK("https://www.samsungpop.com/customer/guide.do?cmd=event_view&amp;menuNo=01010900&amp;MenuSeqNo=3807", "링크")</f>
        <v/>
      </c>
      <c r="E48" s="4" t="inlineStr">
        <is>
          <t>[연금] 퇴직연금(IRP/DC) 파워-업! 이벤트(26.5~7월)</t>
        </is>
      </c>
      <c r="F48" s="4" t="inlineStr">
        <is>
          <t>2026년 5~7월 퇴직연금 이벤트 지금 확인하세요~!</t>
        </is>
      </c>
      <c r="G48" s="2" t="inlineStr">
        <is>
          <t>2026/05/01</t>
        </is>
      </c>
      <c r="H48" s="2" t="inlineStr">
        <is>
          <t>2026/07/31</t>
        </is>
      </c>
    </row>
    <row r="49">
      <c r="A49" s="2" t="inlineStr">
        <is>
          <t>삼성증권</t>
        </is>
      </c>
      <c r="B49" s="2" t="n">
        <v>6</v>
      </c>
      <c r="C49" s="2" t="inlineStr"/>
      <c r="D49" s="3">
        <f>HYPERLINK("https://www.samsungpop.com/customer/guide.do?cmd=event_view&amp;menuNo=01010900&amp;MenuSeqNo=3805", "링크")</f>
        <v/>
      </c>
      <c r="E49" s="4" t="inlineStr">
        <is>
          <t>[연금] 연금저축 파워-업! 이벤트(26.5~7월)</t>
        </is>
      </c>
      <c r="F49" s="4" t="inlineStr">
        <is>
          <t>연금저축이 삼성증권을 만나 파워-업! 최대 100만원 헤택까지 받으세요~!</t>
        </is>
      </c>
      <c r="G49" s="2" t="inlineStr">
        <is>
          <t>2026/05/01</t>
        </is>
      </c>
      <c r="H49" s="2" t="inlineStr">
        <is>
          <t>2026/07/31</t>
        </is>
      </c>
    </row>
    <row r="50">
      <c r="A50" s="2" t="inlineStr">
        <is>
          <t>삼성증권</t>
        </is>
      </c>
      <c r="B50" s="2" t="n">
        <v>7</v>
      </c>
      <c r="C50" s="2" t="inlineStr"/>
      <c r="D50" s="3">
        <f>HYPERLINK("https://www.samsungpop.com/customer/guide.do?cmd=event_view&amp;menuNo=01010900&amp;MenuSeqNo=3811", "링크")</f>
        <v/>
      </c>
      <c r="E50" s="4" t="inlineStr">
        <is>
          <t>중개형 ISA "연금전환" 이벤트 (26.5~7월)</t>
        </is>
      </c>
      <c r="F50" s="4" t="inlineStr">
        <is>
          <t>중개형ISA 그냥 두지 마세요~ '연금전환' 하고 최대 116만원 받으세요! (26.5.1~7.31)</t>
        </is>
      </c>
      <c r="G50" s="2" t="inlineStr">
        <is>
          <t>2026/05/01</t>
        </is>
      </c>
      <c r="H50" s="2" t="inlineStr">
        <is>
          <t>2026/07/31</t>
        </is>
      </c>
    </row>
    <row r="51">
      <c r="A51" s="2" t="inlineStr">
        <is>
          <t>삼성증권</t>
        </is>
      </c>
      <c r="B51" s="2" t="n">
        <v>8</v>
      </c>
      <c r="C51" s="2" t="inlineStr"/>
      <c r="D51" s="3">
        <f>HYPERLINK("https://www.samsungpop.com/customer/guide.do?cmd=event_view&amp;menuNo=01010900&amp;MenuSeqNo=3803", "링크")</f>
        <v/>
      </c>
      <c r="E51" s="4" t="inlineStr">
        <is>
          <t>자녀자산관리 서비스 출시 이벤트</t>
        </is>
      </c>
      <c r="F51" s="4" t="inlineStr">
        <is>
          <t>자녀계좌 첫 개설시 최대 5만원과 조건충족시 KOSPI 주식 1주 추첨기회까지 드려요</t>
        </is>
      </c>
      <c r="G51" s="2" t="inlineStr">
        <is>
          <t>2026/05/04</t>
        </is>
      </c>
      <c r="H51" s="2" t="inlineStr">
        <is>
          <t>2026/10/30</t>
        </is>
      </c>
    </row>
    <row r="52">
      <c r="A52" s="2" t="inlineStr">
        <is>
          <t>삼성증권</t>
        </is>
      </c>
      <c r="B52" s="2" t="n">
        <v>9</v>
      </c>
      <c r="C52" s="2" t="inlineStr"/>
      <c r="D52" s="3">
        <f>HYPERLINK("https://www.samsungpop.com/customer/guide.do?cmd=event_view&amp;menuNo=01010900&amp;MenuSeqNo=3723", "링크")</f>
        <v/>
      </c>
      <c r="E52" s="4" t="inlineStr">
        <is>
          <t>국내주식 온라인 수수료 우대혜택 이벤트(신규/휴면)</t>
        </is>
      </c>
      <c r="F52" s="4" t="inlineStr">
        <is>
          <t>신규/휴면고객이라면 비대면 계좌개설시 온라인 국내주식 수수료 우대 혜택을 드려요!</t>
        </is>
      </c>
      <c r="G52" s="2" t="inlineStr">
        <is>
          <t>2026/04/01</t>
        </is>
      </c>
      <c r="H52" s="2" t="inlineStr">
        <is>
          <t>2026/06/30</t>
        </is>
      </c>
    </row>
    <row r="53">
      <c r="A53" s="2" t="inlineStr">
        <is>
          <t>삼성증권</t>
        </is>
      </c>
      <c r="B53" s="2" t="n">
        <v>10</v>
      </c>
      <c r="C53" s="2" t="inlineStr"/>
      <c r="D53" s="3">
        <f>HYPERLINK("https://www.samsungpop.com/customer/guide.do?cmd=event_view&amp;menuNo=01010900&amp;MenuSeqNo=3776", "링크")</f>
        <v/>
      </c>
      <c r="E53" s="4" t="inlineStr">
        <is>
          <t>2026년 2분기 국내선물옵션 수수료 이벤트</t>
        </is>
      </c>
      <c r="F53" s="4" t="inlineStr">
        <is>
          <t>2026년에도 삼성증권과 국내선물옵션 거래하세요~</t>
        </is>
      </c>
      <c r="G53" s="2" t="inlineStr">
        <is>
          <t>2026/04/01</t>
        </is>
      </c>
      <c r="H53" s="2" t="inlineStr">
        <is>
          <t>2026/06/30</t>
        </is>
      </c>
    </row>
    <row r="54">
      <c r="A54" s="2" t="inlineStr">
        <is>
          <t>삼성증권</t>
        </is>
      </c>
      <c r="B54" s="2" t="n">
        <v>11</v>
      </c>
      <c r="C54" s="2" t="inlineStr"/>
      <c r="D54" s="3">
        <f>HYPERLINK("https://www.samsungpop.com/customer/guide.do?cmd=event_view&amp;menuNo=01010900&amp;MenuSeqNo=3769", "링크")</f>
        <v/>
      </c>
      <c r="E54" s="4" t="inlineStr">
        <is>
          <t>RIA(국내시장 복귀계좌) 수수료 우대 이벤트</t>
        </is>
      </c>
      <c r="F54" s="4" t="inlineStr">
        <is>
          <t>RIA(국내시장 복귀계좌) 개설하고, 국내주식 매매수수료 우대와 원화로 환전100%우대까지 받아보세요~</t>
        </is>
      </c>
      <c r="G54" s="2" t="inlineStr">
        <is>
          <t>2026/03/23</t>
        </is>
      </c>
      <c r="H54" s="2" t="inlineStr">
        <is>
          <t>2026/12/31</t>
        </is>
      </c>
    </row>
    <row r="55">
      <c r="A55" s="2" t="inlineStr">
        <is>
          <t>삼성증권</t>
        </is>
      </c>
      <c r="B55" s="2" t="n">
        <v>12</v>
      </c>
      <c r="C55" s="2" t="inlineStr"/>
      <c r="D55" s="3">
        <f>HYPERLINK("https://www.samsungpop.com/customer/guide.do?cmd=event_view&amp;menuNo=01010900&amp;MenuSeqNo=3721", "링크")</f>
        <v/>
      </c>
      <c r="E55" s="4" t="inlineStr">
        <is>
          <t>'26년 연금저축계좌 ETF/리츠 온라인 거래수수료 혜택</t>
        </is>
      </c>
      <c r="F55" s="4" t="inlineStr">
        <is>
          <t>연금저축계좌에서 ETF, 리츠 온라인 거래하고 수수료 혜택 받자!</t>
        </is>
      </c>
      <c r="G55" s="2" t="inlineStr">
        <is>
          <t>2026/01/01</t>
        </is>
      </c>
      <c r="H55" s="2" t="inlineStr">
        <is>
          <t>2026/12/31</t>
        </is>
      </c>
    </row>
    <row r="56">
      <c r="A56" s="2" t="inlineStr">
        <is>
          <t>삼성증권</t>
        </is>
      </c>
      <c r="B56" s="2" t="n">
        <v>13</v>
      </c>
      <c r="C56" s="2" t="inlineStr"/>
      <c r="D56" s="3">
        <f>HYPERLINK("https://www.samsungpop.com/customer/guide.do?cmd=event_view&amp;menuNo=01010900&amp;MenuSeqNo=3719", "링크")</f>
        <v/>
      </c>
      <c r="E56" s="4" t="inlineStr">
        <is>
          <t>[신규] '26년 중개형 ISA 평생혜택계좌 수수료 혜택</t>
        </is>
      </c>
      <c r="F56" s="4" t="inlineStr">
        <is>
          <t>2026년 중개형 ISA 평생혜택계좌 수수료 혜택 보러오세요!</t>
        </is>
      </c>
      <c r="G56" s="2" t="inlineStr">
        <is>
          <t>2026/01/01</t>
        </is>
      </c>
      <c r="H56" s="2" t="inlineStr">
        <is>
          <t>2026/12/31</t>
        </is>
      </c>
    </row>
    <row r="57">
      <c r="A57" s="2" t="inlineStr">
        <is>
          <t>한국투자증권</t>
        </is>
      </c>
      <c r="B57" s="2" t="n">
        <v>1</v>
      </c>
      <c r="C57" s="2" t="inlineStr">
        <is>
          <t>진행중</t>
        </is>
      </c>
      <c r="D57" s="3">
        <f>HYPERLINK("https://securities.koreainvestment.com/main/customer/notice/Event.jsp?gubun=i&amp;cmd=TF04gb010002&amp;num=6703&amp;from=&amp;currentPage=1&amp;CUSTGUBUN=00&amp;focusYN=&amp;userRowsPerPage=10&amp;searchColumn=all&amp;searchValue=", "링크")</f>
        <v/>
      </c>
      <c r="E57" s="4" t="inlineStr">
        <is>
          <t>개인고객 금융상품잔고 100조원 돌파</t>
        </is>
      </c>
      <c r="F57" s="4" t="inlineStr">
        <is>
          <t>출석체크 및 상품가입 이벤트</t>
        </is>
      </c>
      <c r="G57" s="2" t="inlineStr">
        <is>
          <t xml:space="preserve">
2026/06/01
</t>
        </is>
      </c>
      <c r="H57" s="2" t="inlineStr">
        <is>
          <t xml:space="preserve">
2026/06/30</t>
        </is>
      </c>
    </row>
    <row r="58">
      <c r="A58" s="2" t="inlineStr">
        <is>
          <t>한국투자증권</t>
        </is>
      </c>
      <c r="B58" s="2" t="n">
        <v>2</v>
      </c>
      <c r="C58" s="2" t="inlineStr">
        <is>
          <t>진행중</t>
        </is>
      </c>
      <c r="D58" s="3">
        <f>HYPERLINK("https://securities.koreainvestment.com/main/customer/notice/Event.jsp?gubun=i&amp;cmd=TF04gb010002&amp;num=6709&amp;from=&amp;currentPage=1&amp;CUSTGUBUN=00&amp;focusYN=&amp;userRowsPerPage=10&amp;searchColumn=all&amp;searchValue=", "링크")</f>
        <v/>
      </c>
      <c r="E58" s="4" t="inlineStr">
        <is>
          <t>개인고객 금융상품잔고 100조원 돌파</t>
        </is>
      </c>
      <c r="F58" s="4" t="inlineStr">
        <is>
          <t>운용사 '코리아' 펀드 매수 이벤트</t>
        </is>
      </c>
      <c r="G58" s="2" t="inlineStr">
        <is>
          <t xml:space="preserve">
2026/06/01
</t>
        </is>
      </c>
      <c r="H58" s="2" t="inlineStr">
        <is>
          <t xml:space="preserve">
2026/06/30</t>
        </is>
      </c>
    </row>
    <row r="59">
      <c r="A59" s="2" t="inlineStr">
        <is>
          <t>한국투자증권</t>
        </is>
      </c>
      <c r="B59" s="2" t="n">
        <v>3</v>
      </c>
      <c r="C59" s="2" t="inlineStr">
        <is>
          <t>진행중</t>
        </is>
      </c>
      <c r="D59" s="3">
        <f>HYPERLINK("https://securities.koreainvestment.com/main/customer/notice/Event.jsp?gubun=i&amp;cmd=TF04gb010002&amp;num=6707&amp;from=&amp;currentPage=1&amp;CUSTGUBUN=00&amp;focusYN=&amp;userRowsPerPage=10&amp;searchColumn=all&amp;searchValue=", "링크")</f>
        <v/>
      </c>
      <c r="E59" s="4" t="inlineStr">
        <is>
          <t>뱅키스 ISA중개형 이벤트</t>
        </is>
      </c>
      <c r="F59" s="4" t="inlineStr">
        <is>
          <t>최대 91만원 + 호텔 2인식사권 기회</t>
        </is>
      </c>
      <c r="G59" s="2" t="inlineStr">
        <is>
          <t xml:space="preserve">
2026/06/01
</t>
        </is>
      </c>
      <c r="H59" s="2" t="inlineStr">
        <is>
          <t xml:space="preserve">
2026/07/31</t>
        </is>
      </c>
    </row>
    <row r="60">
      <c r="A60" s="2" t="inlineStr">
        <is>
          <t>한국투자증권</t>
        </is>
      </c>
      <c r="B60" s="2" t="n">
        <v>4</v>
      </c>
      <c r="C60" s="2" t="inlineStr">
        <is>
          <t>진행중</t>
        </is>
      </c>
      <c r="D60" s="3">
        <f>HYPERLINK("https://securities.koreainvestment.com/main/customer/notice/Event.jsp?gubun=i&amp;cmd=TF04gb010002&amp;num=6683&amp;from=&amp;currentPage=1&amp;CUSTGUBUN=00&amp;focusYN=&amp;userRowsPerPage=10&amp;searchColumn=all&amp;searchValue=", "링크")</f>
        <v/>
      </c>
      <c r="E60" s="4" t="inlineStr">
        <is>
          <t>ELS 투자의 정석</t>
        </is>
      </c>
      <c r="F60" s="4" t="inlineStr">
        <is>
          <t>ELS 투자하면 최대 15만원 혜택!!</t>
        </is>
      </c>
      <c r="G60" s="2" t="inlineStr">
        <is>
          <t xml:space="preserve">
2026/05/04
</t>
        </is>
      </c>
      <c r="H60" s="2" t="inlineStr">
        <is>
          <t xml:space="preserve">
2026/07/31</t>
        </is>
      </c>
    </row>
    <row r="61">
      <c r="A61" s="2" t="inlineStr">
        <is>
          <t>한국투자증권</t>
        </is>
      </c>
      <c r="B61" s="2" t="n">
        <v>5</v>
      </c>
      <c r="C61" s="2" t="inlineStr">
        <is>
          <t>진행중</t>
        </is>
      </c>
      <c r="D61" s="3">
        <f>HYPERLINK("https://securities.koreainvestment.com/main/customer/notice/Event.jsp?gubun=i&amp;cmd=TF04gb010002&amp;num=6710&amp;from=&amp;currentPage=1&amp;CUSTGUBUN=00&amp;focusYN=&amp;userRowsPerPage=10&amp;searchColumn=all&amp;searchValue=", "링크")</f>
        <v/>
      </c>
      <c r="E61" s="4" t="inlineStr">
        <is>
          <t>4회 실전투자대회 한투배틀!</t>
        </is>
      </c>
      <c r="F61" s="4" t="inlineStr">
        <is>
          <t>국내주식 4개 리그 총 상금 1,635만원!!</t>
        </is>
      </c>
      <c r="G61" s="2" t="inlineStr">
        <is>
          <t xml:space="preserve">
2026/06/05
</t>
        </is>
      </c>
      <c r="H61" s="2" t="inlineStr">
        <is>
          <t xml:space="preserve">
2026/07/03</t>
        </is>
      </c>
    </row>
    <row r="62">
      <c r="A62" s="2" t="inlineStr">
        <is>
          <t>한국투자증권</t>
        </is>
      </c>
      <c r="B62" s="2" t="n">
        <v>6</v>
      </c>
      <c r="C62" s="2" t="inlineStr">
        <is>
          <t>진행중</t>
        </is>
      </c>
      <c r="D62" s="3">
        <f>HYPERLINK("https://securities.koreainvestment.com/main/customer/notice/Event.jsp?gubun=i&amp;cmd=TF04gb010002&amp;num=6656&amp;from=&amp;currentPage=1&amp;CUSTGUBUN=00&amp;focusYN=&amp;userRowsPerPage=10&amp;searchColumn=all&amp;searchValue=", "링크")</f>
        <v/>
      </c>
      <c r="E62" s="4" t="inlineStr">
        <is>
          <t>뱅키스 국내채권 이벤트</t>
        </is>
      </c>
      <c r="F62" s="4" t="inlineStr">
        <is>
          <t>CMA로 빈틈없이 수익 챙기는 습관, 최대 5만원 혜택!!</t>
        </is>
      </c>
      <c r="G62" s="2" t="inlineStr">
        <is>
          <t xml:space="preserve">
2026/04/10
</t>
        </is>
      </c>
      <c r="H62" s="2" t="inlineStr">
        <is>
          <t xml:space="preserve">
2026/06/30</t>
        </is>
      </c>
    </row>
    <row r="63">
      <c r="A63" s="2" t="inlineStr">
        <is>
          <t>한국투자증권</t>
        </is>
      </c>
      <c r="B63" s="2" t="n">
        <v>7</v>
      </c>
      <c r="C63" s="2" t="inlineStr">
        <is>
          <t>진행중</t>
        </is>
      </c>
      <c r="D63" s="3">
        <f>HYPERLINK("https://securities.koreainvestment.com/main/customer/notice/Event.jsp?gubun=i&amp;cmd=TF04gb010002&amp;num=6676&amp;from=&amp;currentPage=1&amp;CUSTGUBUN=00&amp;focusYN=&amp;userRowsPerPage=10&amp;searchColumn=all&amp;searchValue=", "링크")</f>
        <v/>
      </c>
      <c r="E63" s="4" t="inlineStr">
        <is>
          <t>금현물 거래 시즌2 다시 만난 금!</t>
        </is>
      </c>
      <c r="F63" s="4" t="inlineStr">
        <is>
          <t>조건 충족시 즉시 1만원 혜택 지급</t>
        </is>
      </c>
      <c r="G63" s="2" t="inlineStr">
        <is>
          <t xml:space="preserve">
2026/05/11
</t>
        </is>
      </c>
      <c r="H63" s="2" t="inlineStr">
        <is>
          <t xml:space="preserve">
2026/06/30</t>
        </is>
      </c>
    </row>
    <row r="64">
      <c r="A64" s="2" t="inlineStr">
        <is>
          <t>한국투자증권</t>
        </is>
      </c>
      <c r="B64" s="2" t="n">
        <v>8</v>
      </c>
      <c r="C64" s="2" t="inlineStr">
        <is>
          <t>진행중</t>
        </is>
      </c>
      <c r="D64" s="3">
        <f>HYPERLINK("https://securities.koreainvestment.com/main/customer/notice/Event.jsp?gubun=i&amp;cmd=TF04gb010002&amp;num=6634&amp;from=&amp;currentPage=1&amp;CUSTGUBUN=00&amp;focusYN=&amp;userRowsPerPage=10&amp;searchColumn=all&amp;searchValue=", "링크")</f>
        <v/>
      </c>
      <c r="E64" s="4" t="inlineStr">
        <is>
          <t>2026 2분기 Horse Power ISA 이벤트</t>
        </is>
      </c>
      <c r="F64" s="4" t="inlineStr">
        <is>
          <t>ISA 이전, 펀드 매수하면 상품권 혜택이!</t>
        </is>
      </c>
      <c r="G64" s="2" t="inlineStr">
        <is>
          <t xml:space="preserve">
2026/04/01
</t>
        </is>
      </c>
      <c r="H64" s="2" t="inlineStr">
        <is>
          <t xml:space="preserve">
2026/06/30</t>
        </is>
      </c>
    </row>
    <row r="65">
      <c r="A65" s="2" t="inlineStr">
        <is>
          <t>한국투자증권</t>
        </is>
      </c>
      <c r="B65" s="2" t="n">
        <v>9</v>
      </c>
      <c r="C65" s="2" t="inlineStr">
        <is>
          <t>진행중</t>
        </is>
      </c>
      <c r="D65" s="3">
        <f>HYPERLINK("https://securities.koreainvestment.com/main/customer/notice/Event.jsp?gubun=i&amp;cmd=TF04gb010002&amp;num=6633&amp;from=&amp;currentPage=1&amp;CUSTGUBUN=00&amp;focusYN=&amp;userRowsPerPage=10&amp;searchColumn=all&amp;searchValue=", "링크")</f>
        <v/>
      </c>
      <c r="E65" s="4" t="inlineStr">
        <is>
          <t>2026 2분기 Horse Power 국내 주식 이벤트</t>
        </is>
      </c>
      <c r="F65" s="4" t="inlineStr">
        <is>
          <t>국내 주식 거래하고, 입고해서 상품권 받아가세요!</t>
        </is>
      </c>
      <c r="G65" s="2" t="inlineStr">
        <is>
          <t xml:space="preserve">
2026/04/01
</t>
        </is>
      </c>
      <c r="H65" s="2" t="inlineStr">
        <is>
          <t xml:space="preserve">
2026/06/30</t>
        </is>
      </c>
    </row>
    <row r="66">
      <c r="A66" s="2" t="inlineStr">
        <is>
          <t>한국투자증권</t>
        </is>
      </c>
      <c r="B66" s="2" t="n">
        <v>10</v>
      </c>
      <c r="C66" s="2" t="inlineStr">
        <is>
          <t>진행중</t>
        </is>
      </c>
      <c r="D66" s="3">
        <f>HYPERLINK("https://securities.koreainvestment.com/main/customer/notice/Event.jsp?gubun=i&amp;cmd=TF04gb010002&amp;num=6684&amp;from=&amp;currentPage=1&amp;CUSTGUBUN=00&amp;focusYN=&amp;userRowsPerPage=10&amp;searchColumn=all&amp;searchValue=", "링크")</f>
        <v/>
      </c>
      <c r="E66" s="4" t="inlineStr">
        <is>
          <t>뱅키스 운용사 ETF 이벤트</t>
        </is>
      </c>
      <c r="F66" s="4" t="inlineStr">
        <is>
          <t>ISA로 더블 업~ ETF 거래하고 최대 9만원 혜택!!</t>
        </is>
      </c>
      <c r="G66" s="2" t="inlineStr">
        <is>
          <t xml:space="preserve">
2026/04/30
</t>
        </is>
      </c>
      <c r="H66" s="2" t="inlineStr">
        <is>
          <t xml:space="preserve">
2026/06/30</t>
        </is>
      </c>
    </row>
    <row r="67">
      <c r="A67" s="2" t="inlineStr">
        <is>
          <t>한국투자증권</t>
        </is>
      </c>
      <c r="B67" s="2" t="n">
        <v>11</v>
      </c>
      <c r="C67" s="2" t="inlineStr">
        <is>
          <t>진행중</t>
        </is>
      </c>
      <c r="D67" s="3">
        <f>HYPERLINK("https://securities.koreainvestment.com/main/customer/notice/Event.jsp?gubun=i&amp;cmd=TF04gb010002&amp;num=6632&amp;from=&amp;currentPage=1&amp;CUSTGUBUN=00&amp;focusYN=&amp;userRowsPerPage=10&amp;searchColumn=all&amp;searchValue=", "링크")</f>
        <v/>
      </c>
      <c r="E67" s="4" t="inlineStr">
        <is>
          <t>2026 2분기 Horse Power 채권 입고 이벤트</t>
        </is>
      </c>
      <c r="F67" s="4" t="inlineStr">
        <is>
          <t>국내 채권 입고시 최대 150만원 혜택!</t>
        </is>
      </c>
      <c r="G67" s="2" t="inlineStr">
        <is>
          <t xml:space="preserve">
2026/04/01
</t>
        </is>
      </c>
      <c r="H67" s="2" t="inlineStr">
        <is>
          <t xml:space="preserve">
2026/06/30</t>
        </is>
      </c>
    </row>
    <row r="68">
      <c r="A68" s="2" t="inlineStr">
        <is>
          <t>한국투자증권</t>
        </is>
      </c>
      <c r="B68" s="2" t="n">
        <v>12</v>
      </c>
      <c r="C68" s="2" t="inlineStr">
        <is>
          <t>진행중</t>
        </is>
      </c>
      <c r="D68" s="3">
        <f>HYPERLINK("https://securities.koreainvestment.com/main/customer/notice/Event.jsp?gubun=i&amp;cmd=TF04gb010002&amp;num=6708&amp;from=&amp;currentPage=1&amp;CUSTGUBUN=00&amp;focusYN=&amp;userRowsPerPage=10&amp;searchColumn=all&amp;searchValue=", "링크")</f>
        <v/>
      </c>
      <c r="E68" s="4" t="inlineStr">
        <is>
          <t>ACE 고배당주Plus커버드콜액티브 이벤트</t>
        </is>
      </c>
      <c r="F68" s="4" t="inlineStr">
        <is>
          <t>ETF 거래하고 문화상품권 5만원 혜택 받으세요~!</t>
        </is>
      </c>
      <c r="G68" s="2" t="inlineStr">
        <is>
          <t xml:space="preserve">
2026/06/02
</t>
        </is>
      </c>
      <c r="H68" s="2" t="inlineStr">
        <is>
          <t xml:space="preserve">
2026/06/30</t>
        </is>
      </c>
    </row>
    <row r="69">
      <c r="A69" s="2" t="inlineStr">
        <is>
          <t>한국투자증권</t>
        </is>
      </c>
      <c r="B69" s="2" t="n">
        <v>13</v>
      </c>
      <c r="C69" s="2" t="inlineStr">
        <is>
          <t>진행중</t>
        </is>
      </c>
      <c r="D69" s="3">
        <f>HYPERLINK("https://securities.koreainvestment.com/main/customer/notice/Event.jsp?gubun=i&amp;cmd=TF04gb010002&amp;num=6706&amp;from=&amp;currentPage=1&amp;CUSTGUBUN=00&amp;focusYN=&amp;userRowsPerPage=10&amp;searchColumn=all&amp;searchValue=", "링크")</f>
        <v/>
      </c>
      <c r="E69" s="4" t="inlineStr">
        <is>
          <t>IRP X 개인연금 이벤트</t>
        </is>
      </c>
      <c r="F69" s="4" t="inlineStr">
        <is>
          <t>한국인의 연금 텐텐 달성 기념!</t>
        </is>
      </c>
      <c r="G69" s="2" t="inlineStr">
        <is>
          <t xml:space="preserve">
2026/06/01
</t>
        </is>
      </c>
      <c r="H69" s="2" t="inlineStr">
        <is>
          <t xml:space="preserve">
2026/07/31</t>
        </is>
      </c>
    </row>
    <row r="70">
      <c r="A70" s="2" t="inlineStr">
        <is>
          <t>한국투자증권</t>
        </is>
      </c>
      <c r="B70" s="2" t="n">
        <v>14</v>
      </c>
      <c r="C70" s="2" t="inlineStr">
        <is>
          <t>진행중</t>
        </is>
      </c>
      <c r="D70" s="3">
        <f>HYPERLINK("https://securities.koreainvestment.com/main/customer/notice/Event.jsp?gubun=i&amp;cmd=TF04gb010002&amp;num=6705&amp;from=&amp;currentPage=1&amp;CUSTGUBUN=00&amp;focusYN=&amp;userRowsPerPage=10&amp;searchColumn=all&amp;searchValue=", "링크")</f>
        <v/>
      </c>
      <c r="E70" s="4" t="inlineStr">
        <is>
          <t>ISA 만기자금 연금전환 이벤트</t>
        </is>
      </c>
      <c r="F70" s="4" t="inlineStr">
        <is>
          <t>한투+타사 ISA 연금으로 이전하세요!</t>
        </is>
      </c>
      <c r="G70" s="2" t="inlineStr">
        <is>
          <t xml:space="preserve">
2026/06/01
</t>
        </is>
      </c>
      <c r="H70" s="2" t="inlineStr">
        <is>
          <t xml:space="preserve">
2026/07/31</t>
        </is>
      </c>
    </row>
    <row r="71">
      <c r="A71" s="2" t="inlineStr">
        <is>
          <t>한국투자증권</t>
        </is>
      </c>
      <c r="B71" s="2" t="n">
        <v>15</v>
      </c>
      <c r="C71" s="2" t="inlineStr">
        <is>
          <t>진행중</t>
        </is>
      </c>
      <c r="D71" s="3">
        <f>HYPERLINK("https://securities.koreainvestment.com/main/customer/notice/Event.jsp?gubun=i&amp;cmd=TF04gb010002&amp;num=6702&amp;from=&amp;currentPage=1&amp;CUSTGUBUN=00&amp;focusYN=&amp;userRowsPerPage=10&amp;searchColumn=all&amp;searchValue=", "링크")</f>
        <v/>
      </c>
      <c r="E71" s="4" t="inlineStr">
        <is>
          <t>운용사 반도체 테크 ETF 일별 거래이벤트</t>
        </is>
      </c>
      <c r="F71" s="4" t="inlineStr">
        <is>
          <t>ETF 거래하고 문화상품권 5만원 혜택 받으세요~!</t>
        </is>
      </c>
      <c r="G71" s="2" t="inlineStr">
        <is>
          <t xml:space="preserve">
2026/06/08
</t>
        </is>
      </c>
      <c r="H71" s="2" t="inlineStr">
        <is>
          <t xml:space="preserve">
2026/07/03</t>
        </is>
      </c>
    </row>
    <row r="72">
      <c r="A72" s="2" t="inlineStr">
        <is>
          <t>한국투자증권</t>
        </is>
      </c>
      <c r="B72" s="2" t="n">
        <v>16</v>
      </c>
      <c r="C72" s="2" t="inlineStr">
        <is>
          <t>진행중</t>
        </is>
      </c>
      <c r="D72" s="3">
        <f>HYPERLINK("https://securities.koreainvestment.com/main/customer/notice/Event.jsp?gubun=i&amp;cmd=TF04gb010002&amp;num=6700&amp;from=&amp;currentPage=1&amp;CUSTGUBUN=00&amp;focusYN=&amp;userRowsPerPage=10&amp;searchColumn=all&amp;searchValue=", "링크")</f>
        <v/>
      </c>
      <c r="E72" s="4" t="inlineStr">
        <is>
          <t>국내 주식모으기 프로모션</t>
        </is>
      </c>
      <c r="F72" s="4" t="inlineStr">
        <is>
          <t>조건 충족시 즉시 3천 원 지급(선착순 3만 명)</t>
        </is>
      </c>
      <c r="G72" s="2" t="inlineStr">
        <is>
          <t xml:space="preserve">
2026/05/15
</t>
        </is>
      </c>
      <c r="H72" s="2" t="inlineStr">
        <is>
          <t xml:space="preserve">
2026/07/31</t>
        </is>
      </c>
    </row>
    <row r="73">
      <c r="A73" s="2" t="inlineStr">
        <is>
          <t>한국투자증권</t>
        </is>
      </c>
      <c r="B73" s="2" t="n">
        <v>17</v>
      </c>
      <c r="C73" s="2" t="inlineStr">
        <is>
          <t>진행중</t>
        </is>
      </c>
      <c r="D73" s="3">
        <f>HYPERLINK("https://securities.koreainvestment.com/main/customer/notice/Event.jsp?gubun=i&amp;cmd=TF04gb010002&amp;num=6698&amp;from=&amp;currentPage=1&amp;CUSTGUBUN=00&amp;focusYN=&amp;userRowsPerPage=10&amp;searchColumn=all&amp;searchValue=", "링크")</f>
        <v/>
      </c>
      <c r="E73" s="4" t="inlineStr">
        <is>
          <t>뱅키스 발행어음 갖기 이벤트</t>
        </is>
      </c>
      <c r="F73" s="4" t="inlineStr">
        <is>
          <t>발행어음 시작하고 0.5% 캐시백 + 최대 10만원 혜택!!</t>
        </is>
      </c>
      <c r="G73" s="2" t="inlineStr">
        <is>
          <t xml:space="preserve">
2026/05/20
</t>
        </is>
      </c>
      <c r="H73" s="2" t="inlineStr">
        <is>
          <t xml:space="preserve">
2026/06/30</t>
        </is>
      </c>
    </row>
    <row r="74">
      <c r="A74" s="2" t="inlineStr">
        <is>
          <t>한국투자증권</t>
        </is>
      </c>
      <c r="B74" s="2" t="n">
        <v>18</v>
      </c>
      <c r="C74" s="2" t="inlineStr">
        <is>
          <t>진행중</t>
        </is>
      </c>
      <c r="D74" s="3">
        <f>HYPERLINK("https://securities.koreainvestment.com/main/customer/notice/Event.jsp?gubun=i&amp;cmd=TF04gb010002&amp;num=6695&amp;from=&amp;currentPage=1&amp;CUSTGUBUN=00&amp;focusYN=&amp;userRowsPerPage=10&amp;searchColumn=all&amp;searchValue=", "링크")</f>
        <v/>
      </c>
      <c r="E74" s="4" t="inlineStr">
        <is>
          <t>뱅키스 대학생 클라스업</t>
        </is>
      </c>
      <c r="F74" s="4" t="inlineStr">
        <is>
          <t>커피도 받고 ~투자 교육도 받아요 !!</t>
        </is>
      </c>
      <c r="G74" s="2" t="inlineStr">
        <is>
          <t xml:space="preserve">
2026/05/11
</t>
        </is>
      </c>
      <c r="H74" s="2" t="inlineStr">
        <is>
          <t xml:space="preserve">
2026/08/31</t>
        </is>
      </c>
    </row>
    <row r="75">
      <c r="A75" s="2" t="inlineStr">
        <is>
          <t>한국투자증권</t>
        </is>
      </c>
      <c r="B75" s="2" t="n">
        <v>19</v>
      </c>
      <c r="C75" s="2" t="inlineStr">
        <is>
          <t>진행중</t>
        </is>
      </c>
      <c r="D75" s="3">
        <f>HYPERLINK("https://securities.koreainvestment.com/main/customer/notice/Event.jsp?gubun=i&amp;cmd=TF04gb010002&amp;num=6677&amp;from=&amp;currentPage=1&amp;CUSTGUBUN=00&amp;focusYN=&amp;userRowsPerPage=10&amp;searchColumn=all&amp;searchValue=", "링크")</f>
        <v/>
      </c>
      <c r="E75" s="4" t="inlineStr">
        <is>
          <t>국내주식 거래하면 최대 100만원 축하금 지급</t>
        </is>
      </c>
      <c r="F75" s="4" t="inlineStr">
        <is>
          <t>매주 추첨 거래 구간별 혜택 지급!!</t>
        </is>
      </c>
      <c r="G75" s="2" t="inlineStr">
        <is>
          <t xml:space="preserve">
2026/04/27
</t>
        </is>
      </c>
      <c r="H75" s="2" t="inlineStr">
        <is>
          <t xml:space="preserve">
2026/06/19</t>
        </is>
      </c>
    </row>
    <row r="76">
      <c r="A76" s="2" t="inlineStr">
        <is>
          <t>한국투자증권</t>
        </is>
      </c>
      <c r="B76" s="2" t="n">
        <v>20</v>
      </c>
      <c r="C76" s="2" t="inlineStr">
        <is>
          <t>진행중</t>
        </is>
      </c>
      <c r="D76" s="3">
        <f>HYPERLINK("https://securities.koreainvestment.com/main/customer/notice/Event.jsp?gubun=i&amp;cmd=TF04gb010002&amp;num=6657&amp;from=&amp;currentPage=1&amp;CUSTGUBUN=00&amp;focusYN=&amp;userRowsPerPage=10&amp;searchColumn=all&amp;searchValue=", "링크")</f>
        <v/>
      </c>
      <c r="E76" s="4" t="inlineStr">
        <is>
          <t>국내 선물옵션 거래준비 + 레벨업</t>
        </is>
      </c>
      <c r="F76" s="4" t="inlineStr">
        <is>
          <t>사전교육 &amp; 모의거래 2만원, 첫 거래시 3만원 혜택!</t>
        </is>
      </c>
      <c r="G76" s="2" t="inlineStr">
        <is>
          <t xml:space="preserve">
2026/04/13
</t>
        </is>
      </c>
      <c r="H76" s="2" t="inlineStr">
        <is>
          <t xml:space="preserve">
2026/06/11
</t>
        </is>
      </c>
    </row>
    <row r="77">
      <c r="A77" s="2" t="inlineStr">
        <is>
          <t>한국투자증권</t>
        </is>
      </c>
      <c r="B77" s="2" t="n">
        <v>21</v>
      </c>
      <c r="C77" s="2" t="inlineStr">
        <is>
          <t>진행중</t>
        </is>
      </c>
      <c r="D77" s="3">
        <f>HYPERLINK("https://securities.koreainvestment.com/main/customer/notice/Event.jsp?gubun=i&amp;cmd=TF04gb010002&amp;num=6615&amp;from=&amp;currentPage=1&amp;CUSTGUBUN=00&amp;focusYN=&amp;userRowsPerPage=10&amp;searchColumn=all&amp;searchValue=", "링크")</f>
        <v/>
      </c>
      <c r="E77" s="4" t="inlineStr">
        <is>
          <t>개인연금 TDF.ETF 매수 이벤트</t>
        </is>
      </c>
      <c r="F77" s="4" t="inlineStr">
        <is>
          <t>모바일 문화상품권 최대 36만원 혜택!!</t>
        </is>
      </c>
      <c r="G77" s="2" t="inlineStr">
        <is>
          <t xml:space="preserve">
2026/04/01
</t>
        </is>
      </c>
      <c r="H77" s="2" t="inlineStr">
        <is>
          <t xml:space="preserve">
2026/06/30</t>
        </is>
      </c>
    </row>
    <row r="78">
      <c r="A78" s="2" t="inlineStr">
        <is>
          <t>한국투자증권</t>
        </is>
      </c>
      <c r="B78" s="2" t="n">
        <v>22</v>
      </c>
      <c r="C78" s="2" t="inlineStr">
        <is>
          <t>진행중</t>
        </is>
      </c>
      <c r="D78" s="3">
        <f>HYPERLINK("https://securities.koreainvestment.com/main/customer/notice/Event.jsp?gubun=i&amp;cmd=TF04gb010002&amp;num=6614&amp;from=&amp;currentPage=1&amp;CUSTGUBUN=00&amp;focusYN=&amp;userRowsPerPage=10&amp;searchColumn=all&amp;searchValue=", "링크")</f>
        <v/>
      </c>
      <c r="E78" s="4" t="inlineStr">
        <is>
          <t>퇴직연금 TDF.ETF 매수 이벤트</t>
        </is>
      </c>
      <c r="F78" s="4" t="inlineStr">
        <is>
          <t>모바일 문화상품권 최대 3만원 혜택!!</t>
        </is>
      </c>
      <c r="G78" s="2" t="inlineStr">
        <is>
          <t xml:space="preserve">
2026/04/01
</t>
        </is>
      </c>
      <c r="H78" s="2" t="inlineStr">
        <is>
          <t xml:space="preserve">
2026/06/30</t>
        </is>
      </c>
    </row>
    <row r="79">
      <c r="A79" s="2" t="inlineStr">
        <is>
          <t>한국투자증권</t>
        </is>
      </c>
      <c r="B79" s="2" t="n">
        <v>23</v>
      </c>
      <c r="C79" s="2" t="inlineStr">
        <is>
          <t>진행중</t>
        </is>
      </c>
      <c r="D79" s="3">
        <f>HYPERLINK("https://securities.koreainvestment.com/main/customer/notice/Event.jsp?gubun=i&amp;cmd=TF04gb010002&amp;num=6613&amp;from=&amp;currentPage=1&amp;CUSTGUBUN=00&amp;focusYN=&amp;userRowsPerPage=10&amp;searchColumn=all&amp;searchValue=", "링크")</f>
        <v/>
      </c>
      <c r="E79" s="4" t="inlineStr">
        <is>
          <t>퇴직연금 DC 신규 가입 이벤트</t>
        </is>
      </c>
      <c r="F79" s="4" t="inlineStr">
        <is>
          <t>DC 신규 입금하면 3만원 100% 증정혜택!!</t>
        </is>
      </c>
      <c r="G79" s="2" t="inlineStr">
        <is>
          <t xml:space="preserve">
2026/04/01
</t>
        </is>
      </c>
      <c r="H79" s="2" t="inlineStr">
        <is>
          <t xml:space="preserve">
2026/06/30</t>
        </is>
      </c>
    </row>
    <row r="80">
      <c r="A80" s="2" t="inlineStr">
        <is>
          <t>한국투자증권</t>
        </is>
      </c>
      <c r="B80" s="2" t="n">
        <v>24</v>
      </c>
      <c r="C80" s="2" t="inlineStr">
        <is>
          <t>진행중</t>
        </is>
      </c>
      <c r="D80" s="3">
        <f>HYPERLINK("https://securities.koreainvestment.com/main/customer/notice/Event.jsp?gubun=i&amp;cmd=TF04gb010002&amp;num=6610&amp;from=&amp;currentPage=1&amp;CUSTGUBUN=00&amp;focusYN=&amp;userRowsPerPage=10&amp;searchColumn=all&amp;searchValue=", "링크")</f>
        <v/>
      </c>
      <c r="E80" s="4" t="inlineStr">
        <is>
          <t>국내주식 온라인 거래수수료 우대 혜택 이벤트</t>
        </is>
      </c>
      <c r="F80" s="4" t="inlineStr">
        <is>
          <t>처음 거래하신다면? 최대 180일까지 우대수수료 신청하세요!</t>
        </is>
      </c>
      <c r="G80" s="2" t="inlineStr">
        <is>
          <t xml:space="preserve">
2026/04/01
</t>
        </is>
      </c>
      <c r="H80" s="2" t="inlineStr">
        <is>
          <t xml:space="preserve">
2026/06/30</t>
        </is>
      </c>
    </row>
    <row r="81">
      <c r="A81" s="2" t="inlineStr">
        <is>
          <t>한국투자증권</t>
        </is>
      </c>
      <c r="B81" s="2" t="n">
        <v>25</v>
      </c>
      <c r="C81" s="2" t="inlineStr">
        <is>
          <t>진행중</t>
        </is>
      </c>
      <c r="D81" s="3">
        <f>HYPERLINK("https://securities.koreainvestment.com/main/customer/notice/Event.jsp?gubun=i&amp;cmd=TF04gb010002&amp;num=6554&amp;from=&amp;currentPage=1&amp;CUSTGUBUN=00&amp;focusYN=&amp;userRowsPerPage=10&amp;searchColumn=all&amp;searchValue=", "링크")</f>
        <v/>
      </c>
      <c r="E81" s="4" t="inlineStr">
        <is>
          <t>뱅키스 국내선물옵션 수수료 할인 이벤트</t>
        </is>
      </c>
      <c r="F81" s="4" t="inlineStr">
        <is>
          <t>선물옵션 거래하고~ 최대 97% 수수료 할인혜택 받아가세요~!</t>
        </is>
      </c>
      <c r="G81" s="2" t="inlineStr">
        <is>
          <t xml:space="preserve">
2026/01/02
</t>
        </is>
      </c>
      <c r="H81" s="2" t="inlineStr">
        <is>
          <t xml:space="preserve">
2026/06/30</t>
        </is>
      </c>
    </row>
    <row r="82">
      <c r="A82" s="2" t="inlineStr">
        <is>
          <t>한국투자증권</t>
        </is>
      </c>
      <c r="B82" s="2" t="n">
        <v>26</v>
      </c>
      <c r="C82" s="2" t="inlineStr">
        <is>
          <t>진행중</t>
        </is>
      </c>
      <c r="D82" s="3">
        <f>HYPERLINK("https://securities.koreainvestment.com/main/customer/notice/Event.jsp?gubun=i&amp;cmd=TF04gb010002&amp;num=6518&amp;from=&amp;currentPage=1&amp;CUSTGUBUN=00&amp;focusYN=&amp;userRowsPerPage=10&amp;searchColumn=all&amp;searchValue=", "링크")</f>
        <v/>
      </c>
      <c r="E82" s="4" t="inlineStr">
        <is>
          <t>우리아이 첫 투자 한국투자증권과 함께!</t>
        </is>
      </c>
      <c r="F82" s="4" t="inlineStr">
        <is>
          <t>첫투자하고 ~국내주식 2주 + 네이버페이 5천원까지 혜택받으세요~!</t>
        </is>
      </c>
      <c r="G82" s="2" t="inlineStr">
        <is>
          <t xml:space="preserve">
2026/06/01
</t>
        </is>
      </c>
      <c r="H82" s="2" t="inlineStr">
        <is>
          <t xml:space="preserve">
2026/06/30</t>
        </is>
      </c>
    </row>
    <row r="83">
      <c r="A83" s="2" t="inlineStr">
        <is>
          <t>한국투자증권</t>
        </is>
      </c>
      <c r="B83" s="2" t="n">
        <v>27</v>
      </c>
      <c r="C83" s="2" t="inlineStr">
        <is>
          <t>진행중</t>
        </is>
      </c>
      <c r="D83" s="3">
        <f>HYPERLINK("https://securities.koreainvestment.com/main/customer/notice/Event.jsp?gubun=i&amp;cmd=TF04gb010002&amp;num=6137&amp;from=&amp;currentPage=1&amp;CUSTGUBUN=00&amp;focusYN=&amp;userRowsPerPage=10&amp;searchColumn=all&amp;searchValue=", "링크")</f>
        <v/>
      </c>
      <c r="E83" s="4" t="inlineStr">
        <is>
          <t>연금저축 온라인 매매수수료 우대 이벤트</t>
        </is>
      </c>
      <c r="F83" s="4" t="inlineStr">
        <is>
          <t>수수료 우대로 든든하니깐 ~ 연금저축 온라인 매매수수료 우대 혜택받아가세요~!</t>
        </is>
      </c>
      <c r="G83" s="2" t="inlineStr">
        <is>
          <t xml:space="preserve">
2024/12/20
</t>
        </is>
      </c>
      <c r="H83" s="2" t="inlineStr">
        <is>
          <t xml:space="preserve">
2026/12/31</t>
        </is>
      </c>
    </row>
    <row r="84">
      <c r="A84" s="2" t="inlineStr">
        <is>
          <t>한국투자증권</t>
        </is>
      </c>
      <c r="B84" s="2" t="n">
        <v>28</v>
      </c>
      <c r="C84" s="2" t="inlineStr">
        <is>
          <t>진행중</t>
        </is>
      </c>
      <c r="D84" s="3">
        <f>HYPERLINK("https://securities.koreainvestment.com/main/customer/notice/Event.jsp?gubun=i&amp;cmd=TF04gb010002&amp;num=2432&amp;from=&amp;currentPage=1&amp;CUSTGUBUN=00&amp;focusYN=&amp;userRowsPerPage=10&amp;searchColumn=all&amp;searchValue=", "링크")</f>
        <v/>
      </c>
      <c r="E84" s="4" t="inlineStr">
        <is>
          <t>BanKIS 신규 계좌개설 이벤트</t>
        </is>
      </c>
      <c r="F84" s="4" t="inlineStr">
        <is>
          <t>최초 신규계좌개설 고객이라면? 국내주식 2주 + 2030 추가 혜택까지!</t>
        </is>
      </c>
      <c r="G84" s="2" t="inlineStr">
        <is>
          <t xml:space="preserve">
2026/06/01
</t>
        </is>
      </c>
      <c r="H84" s="2" t="inlineStr">
        <is>
          <t xml:space="preserve">
2026/06/30</t>
        </is>
      </c>
    </row>
    <row r="85">
      <c r="A85" s="2" t="inlineStr">
        <is>
          <t>나무증권</t>
        </is>
      </c>
      <c r="B85" s="2" t="n">
        <v>1</v>
      </c>
      <c r="C85" s="2" t="inlineStr"/>
      <c r="D85" s="3">
        <f>HYPERLINK("https://m.mynamuh.com/customer/event/eventView?mNo=1003&amp;t=1780963812350", "링크")</f>
        <v/>
      </c>
      <c r="E85" s="4" t="inlineStr">
        <is>
          <t>대여풀 등록하고 주식 이자 받자!</t>
        </is>
      </c>
      <c r="F85" s="4" t="inlineStr"/>
      <c r="G85" s="2" t="inlineStr">
        <is>
          <t>2026/04/30</t>
        </is>
      </c>
      <c r="H85" s="2" t="inlineStr">
        <is>
          <t>2026/07/31</t>
        </is>
      </c>
    </row>
    <row r="86">
      <c r="A86" s="2" t="inlineStr">
        <is>
          <t>나무증권</t>
        </is>
      </c>
      <c r="B86" s="2" t="n">
        <v>2</v>
      </c>
      <c r="C86" s="2" t="inlineStr"/>
      <c r="D86" s="3">
        <f>HYPERLINK("https://m.mynamuh.com/customer/event/eventView?mNo=1001&amp;t=1780963816831", "링크")</f>
        <v/>
      </c>
      <c r="E86" s="4" t="inlineStr">
        <is>
          <t>26년 IRP 순입금/이전 2차 이벤트</t>
        </is>
      </c>
      <c r="F86" s="4" t="inlineStr"/>
      <c r="G86" s="2" t="inlineStr">
        <is>
          <t>2026/05/01</t>
        </is>
      </c>
      <c r="H86" s="2" t="inlineStr">
        <is>
          <t>2026/08/31</t>
        </is>
      </c>
    </row>
    <row r="87">
      <c r="A87" s="2" t="inlineStr">
        <is>
          <t>나무증권</t>
        </is>
      </c>
      <c r="B87" s="2" t="n">
        <v>3</v>
      </c>
      <c r="C87" s="2" t="inlineStr"/>
      <c r="D87" s="3">
        <f>HYPERLINK("https://m.mynamuh.com/customer/event/eventView?mNo=999&amp;t=1780963820366", "링크")</f>
        <v/>
      </c>
      <c r="E87" s="4" t="inlineStr">
        <is>
          <t>퇴직연금 자동운용 포트폴리오로 쉽게 투자하자 이벤트</t>
        </is>
      </c>
      <c r="F87" s="4" t="inlineStr"/>
      <c r="G87" s="2" t="inlineStr">
        <is>
          <t>2026/05/01</t>
        </is>
      </c>
      <c r="H87" s="2" t="inlineStr">
        <is>
          <t>2026/08/31</t>
        </is>
      </c>
    </row>
    <row r="88">
      <c r="A88" s="2" t="inlineStr">
        <is>
          <t>나무증권</t>
        </is>
      </c>
      <c r="B88" s="2" t="n">
        <v>4</v>
      </c>
      <c r="C88" s="2" t="inlineStr"/>
      <c r="D88" s="3">
        <f>HYPERLINK("https://m.mynamuh.com/customer/event/eventView?mNo=993&amp;t=1780963824063", "링크")</f>
        <v/>
      </c>
      <c r="E88" s="4" t="inlineStr">
        <is>
          <t>&lt;제 1회 단체연금&gt; 실전투자대회</t>
        </is>
      </c>
      <c r="F88" s="4" t="inlineStr"/>
      <c r="G88" s="2" t="inlineStr">
        <is>
          <t>2026/04/20</t>
        </is>
      </c>
      <c r="H88" s="2" t="inlineStr">
        <is>
          <t>2026/11/30</t>
        </is>
      </c>
    </row>
    <row r="89">
      <c r="A89" s="2" t="inlineStr">
        <is>
          <t>나무증권</t>
        </is>
      </c>
      <c r="B89" s="2" t="n">
        <v>5</v>
      </c>
      <c r="C89" s="2" t="inlineStr"/>
      <c r="D89" s="3">
        <f>HYPERLINK("https://m.mynamuh.com/customer/event/eventView?mNo=986&amp;t=1780963828690", "링크")</f>
        <v/>
      </c>
      <c r="E89" s="4" t="inlineStr">
        <is>
          <t>단체연금고객 연금저축 순입금 이벤트 시즌2</t>
        </is>
      </c>
      <c r="F89" s="4" t="inlineStr"/>
      <c r="G89" s="2" t="inlineStr">
        <is>
          <t>2026/04/01</t>
        </is>
      </c>
      <c r="H89" s="2" t="inlineStr">
        <is>
          <t>2026/06/30</t>
        </is>
      </c>
    </row>
    <row r="90">
      <c r="A90" s="2" t="inlineStr">
        <is>
          <t>나무증권</t>
        </is>
      </c>
      <c r="B90" s="2" t="n">
        <v>6</v>
      </c>
      <c r="C90" s="2" t="inlineStr"/>
      <c r="D90" s="3">
        <f>HYPERLINK("https://m.mynamuh.com/customer/event/eventView?mNo=985&amp;t=1780963832180", "링크")</f>
        <v/>
      </c>
      <c r="E90" s="4" t="inlineStr">
        <is>
          <t>DC신규가입이벤트 시즌2</t>
        </is>
      </c>
      <c r="F90" s="4" t="inlineStr"/>
      <c r="G90" s="2" t="inlineStr">
        <is>
          <t>2026/04/01</t>
        </is>
      </c>
      <c r="H90" s="2" t="inlineStr">
        <is>
          <t>2026/06/30</t>
        </is>
      </c>
    </row>
    <row r="91">
      <c r="A91" s="2" t="inlineStr">
        <is>
          <t>나무증권</t>
        </is>
      </c>
      <c r="B91" s="2" t="n">
        <v>7</v>
      </c>
      <c r="C91" s="2" t="inlineStr"/>
      <c r="D91" s="3">
        <f>HYPERLINK("https://m.mynamuh.com/customer/event/eventView?mNo=976&amp;t=1780963835816", "링크")</f>
        <v/>
      </c>
      <c r="E91" s="4" t="inlineStr">
        <is>
          <t>SSG랜더스 야구보러 가자!</t>
        </is>
      </c>
      <c r="F91" s="4" t="inlineStr"/>
      <c r="G91" s="2" t="inlineStr">
        <is>
          <t>2026/03/23</t>
        </is>
      </c>
      <c r="H91" s="2" t="inlineStr">
        <is>
          <t>2026/07/05</t>
        </is>
      </c>
    </row>
    <row r="92">
      <c r="A92" s="2" t="inlineStr">
        <is>
          <t>나무증권</t>
        </is>
      </c>
      <c r="B92" s="2" t="n">
        <v>8</v>
      </c>
      <c r="C92" s="2" t="inlineStr"/>
      <c r="D92" s="3">
        <f>HYPERLINK("https://m.mynamuh.com/customer/event/eventView?mNo=972&amp;t=1780963839743", "링크")</f>
        <v/>
      </c>
      <c r="E92" s="4" t="inlineStr">
        <is>
          <t>연금저축 TDF 셋업 이벤트</t>
        </is>
      </c>
      <c r="F92" s="4" t="inlineStr"/>
      <c r="G92" s="2" t="inlineStr">
        <is>
          <t>2026/03/16</t>
        </is>
      </c>
      <c r="H92" s="2" t="inlineStr">
        <is>
          <t>2026/07/31</t>
        </is>
      </c>
    </row>
    <row r="93">
      <c r="A93" s="2" t="inlineStr">
        <is>
          <t>나무증권</t>
        </is>
      </c>
      <c r="B93" s="2" t="n">
        <v>9</v>
      </c>
      <c r="C93" s="2" t="inlineStr"/>
      <c r="D93" s="3">
        <f>HYPERLINK("https://m.mynamuh.com/customer/event/eventView?mNo=574&amp;t=1780963843133", "링크")</f>
        <v/>
      </c>
      <c r="E93" s="4" t="inlineStr">
        <is>
          <t>NH투자증권 연금계좌3종 개설하기</t>
        </is>
      </c>
      <c r="F93" s="4" t="inlineStr"/>
      <c r="G93" s="2" t="inlineStr">
        <is>
          <t>2026/03/12</t>
        </is>
      </c>
      <c r="H93" s="2" t="inlineStr">
        <is>
          <t>2027/02/19</t>
        </is>
      </c>
    </row>
    <row r="94">
      <c r="A94" s="2" t="inlineStr">
        <is>
          <t>나무증권</t>
        </is>
      </c>
      <c r="B94" s="2" t="n">
        <v>10</v>
      </c>
      <c r="C94" s="2" t="inlineStr"/>
      <c r="D94" s="3">
        <f>HYPERLINK("https://m.mynamuh.com/customer/event/eventView?mNo=965&amp;t=1780963846527", "링크")</f>
        <v/>
      </c>
      <c r="E94" s="4" t="inlineStr">
        <is>
          <t>퇴직연금 ELS 가입 이벤트</t>
        </is>
      </c>
      <c r="F94" s="4" t="inlineStr"/>
      <c r="G94" s="2" t="inlineStr">
        <is>
          <t>2026/03/03</t>
        </is>
      </c>
      <c r="H94" s="2" t="inlineStr">
        <is>
          <t>2026/06/30</t>
        </is>
      </c>
    </row>
    <row r="95">
      <c r="A95" s="2" t="inlineStr">
        <is>
          <t>나무증권</t>
        </is>
      </c>
      <c r="B95" s="2" t="n">
        <v>11</v>
      </c>
      <c r="C95" s="2" t="inlineStr"/>
      <c r="D95" s="3">
        <f>HYPERLINK("https://m.mynamuh.com/customer/event/eventView?mNo=952&amp;t=1780963849897", "링크")</f>
        <v/>
      </c>
      <c r="E95" s="4" t="inlineStr">
        <is>
          <t>나무 중개형 ISA 계좌개설 이벤트</t>
        </is>
      </c>
      <c r="F95" s="4" t="inlineStr"/>
      <c r="G95" s="2" t="inlineStr">
        <is>
          <t>2026/02/01</t>
        </is>
      </c>
      <c r="H95" s="2" t="inlineStr">
        <is>
          <t>2027/01/31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2026-06-09T00:11:31Z</dcterms:created>
  <dcterms:modified xsi:type="dcterms:W3CDTF">2026-06-09T00:11:41Z</dcterms:modified>
</cp:coreProperties>
</file>